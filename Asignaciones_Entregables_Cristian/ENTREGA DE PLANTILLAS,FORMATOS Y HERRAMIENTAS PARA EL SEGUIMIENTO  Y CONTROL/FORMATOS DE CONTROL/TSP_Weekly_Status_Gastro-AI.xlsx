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_Stat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<sst xmlns="http://schemas.openxmlformats.org/spreadsheetml/2006/main" count="59" uniqueCount="56">
  <si>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t xml:space="preserve">TSP WEEKLY STATUS – Informe semanal de estado del equipo</t>
  </si>
  <si>
    <t xml:space="preserve">Gastro-AI · Equipo Ragnar Tech · Monitoreo y control con TSP y GitHub Projects</t>
  </si>
  <si>
    <t xml:space="preserve">Proyecto:</t>
  </si>
  <si>
    <t xml:space="preserve">GASTRO-AI_USC2026B</t>
  </si>
  <si>
    <t xml:space="preserve">Semana n.º:</t>
  </si>
  <si>
    <t xml:space="preserve">Sprint:</t>
  </si>
  <si>
    <t xml:space="preserve">Del:</t>
  </si>
  <si>
    <t xml:space="preserve">Al:</t>
  </si>
  <si>
    <t xml:space="preserve">Elaborado por:</t>
  </si>
  <si>
    <t xml:space="preserve">Estado general:</t>
  </si>
  <si>
    <t xml:space="preserve">Cómo llenarlo: complete a mano las celdas amarillas con los datos de la semana (alcance, tiempo, calidad y acuerdos). Las celdas grises se calculan solas; no las edite. La fila «EJ.» es solo un ejemplo.</t>
  </si>
  <si>
    <t xml:space="preserve">1. ALCANCE · avance por etapa</t>
  </si>
  <si>
    <t xml:space="preserve">Etapa</t>
  </si>
  <si>
    <t xml:space="preserve">Ítems planificados</t>
  </si>
  <si>
    <t xml:space="preserve">Ítems completados</t>
  </si>
  <si>
    <t xml:space="preserve">% de avance</t>
  </si>
  <si>
    <t xml:space="preserve">Observaciones</t>
  </si>
  <si>
    <t xml:space="preserve">Análisis/Planeación</t>
  </si>
  <si>
    <t xml:space="preserve">Diseño</t>
  </si>
  <si>
    <t xml:space="preserve">Construcción/Codificación</t>
  </si>
  <si>
    <t xml:space="preserve">Pruebas y Post Mortem</t>
  </si>
  <si>
    <t xml:space="preserve">TOTAL</t>
  </si>
  <si>
    <t xml:space="preserve">2. TIEMPO · esfuerzo de la semana por integrante</t>
  </si>
  <si>
    <t xml:space="preserve">Integrante</t>
  </si>
  <si>
    <t xml:space="preserve">Horas estimadas</t>
  </si>
  <si>
    <t xml:space="preserve">Horas reales</t>
  </si>
  <si>
    <t xml:space="preserve">Minutos de interrupción</t>
  </si>
  <si>
    <t xml:space="preserve">Desviación (h)</t>
  </si>
  <si>
    <t xml:space="preserve">Horas reales / estimadas</t>
  </si>
  <si>
    <t xml:space="preserve">Cristian David Sánchez Mosquera</t>
  </si>
  <si>
    <t xml:space="preserve">David García Chavarro</t>
  </si>
  <si>
    <t xml:space="preserve">Jordan David Amézquita Jaramillo</t>
  </si>
  <si>
    <t xml:space="preserve">Mónica Alexandra Ruiz Martínez</t>
  </si>
  <si>
    <t xml:space="preserve">Felipe Sarmiento Escobar</t>
  </si>
  <si>
    <t xml:space="preserve">TOTAL DEL EQUIPO</t>
  </si>
  <si>
    <t xml:space="preserve">3. CALIDAD · defectos y pruebas de la semana</t>
  </si>
  <si>
    <t xml:space="preserve">Indicador</t>
  </si>
  <si>
    <t xml:space="preserve">Valor</t>
  </si>
  <si>
    <t xml:space="preserve">Defectos detectados</t>
  </si>
  <si>
    <t xml:space="preserve">Defectos eliminados</t>
  </si>
  <si>
    <t xml:space="preserve">Defectos pendientes (detectados − eliminados)</t>
  </si>
  <si>
    <t xml:space="preserve">Minutos de corrección (retrabajo)</t>
  </si>
  <si>
    <t xml:space="preserve">Casos de prueba ejecutados</t>
  </si>
  <si>
    <t xml:space="preserve">Casos de prueba aprobados</t>
  </si>
  <si>
    <t xml:space="preserve">% de aprobación de pruebas</t>
  </si>
  <si>
    <t xml:space="preserve">4. DECISIONES, RIESGOS Y ACCIONES</t>
  </si>
  <si>
    <t xml:space="preserve">Descripción</t>
  </si>
  <si>
    <t xml:space="preserve">Tipo</t>
  </si>
  <si>
    <t xml:space="preserve">Responsable</t>
  </si>
  <si>
    <t xml:space="preserve">Fecha límite</t>
  </si>
  <si>
    <t xml:space="preserve">Estado</t>
  </si>
  <si>
    <t xml:space="preserve">EJ. Fijar las fechas de los hitos 002, 003, 004 y 013 en la línea base</t>
  </si>
  <si>
    <t xml:space="preserve">Acción</t>
  </si>
  <si>
    <t xml:space="preserve">Nombre Apellido</t>
  </si>
  <si>
    <t xml:space="preserve">En curso</t>
  </si>
  <si>
    <t xml:space="preserve">Pendiente de aprobación del cronograma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</si>
</sst>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%"/>
    <numFmt numFmtId="168" formatCode="0.00"/>
    <numFmt numFmtId="169" formatCode="0.00;\-0.00;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757"/>
      <name val="Arial"/>
      <family val="0"/>
      <charset val="1"/>
    </font>
    <font>
      <sz val="10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3F3F3"/>
      </patternFill>
    </fill>
    <fill>
      <patternFill patternType="solid">
        <fgColor rgb="FF1A3757"/>
        <bgColor rgb="FF333333"/>
      </patternFill>
    </fill>
    <fill>
      <patternFill patternType="solid">
        <fgColor rgb="FFD9E2EC"/>
        <bgColor rgb="FFE8EDF3"/>
      </patternFill>
    </fill>
    <fill>
      <patternFill patternType="solid">
        <fgColor rgb="FFE8EDF3"/>
        <bgColor rgb="FFF3F3F3"/>
      </patternFill>
    </fill>
    <fill>
      <patternFill patternType="solid">
        <fgColor rgb="FFF3F3F3"/>
        <bgColor rgb="FFE8ED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08A24"/>
      </bottom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8C4D2"/>
      <rgbColor rgb="FF6B6B6B"/>
      <rgbColor rgb="FF9999FF"/>
      <rgbColor rgb="FF993366"/>
      <rgbColor rgb="FFFFF2CC"/>
      <rgbColor rgb="FFE8EDF3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08A24"/>
      <rgbColor rgb="FFFF6600"/>
      <rgbColor rgb="FF5B6B7C"/>
      <rgbColor rgb="FF969696"/>
      <rgbColor rgb="FF1A37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561600</xdr:colOff>
      <xdr:row>1</xdr:row>
      <xdr:rowOff>152280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6160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6"/>
    <col collapsed="false" customWidth="true" hidden="false" outlineLevel="0" max="8" min="8" style="0" width="30"/>
  </cols>
  <sheetData>
    <row r="1" customFormat="false" ht="31.5" hidden="false" customHeight="true" outlineLevel="0" collapsed="false">
      <c r="B1" s="1" t="s">
        <v>0</v>
      </c>
    </row>
    <row r="2" customFormat="false" ht="27.75" hidden="false" customHeight="true" outlineLevel="0" collapsed="false">
      <c r="A2" s="2"/>
      <c r="B2" s="3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2</v>
      </c>
      <c r="B3" s="5" t="s">
        <v>3</v>
      </c>
    </row>
    <row r="4" customFormat="false" ht="21.75" hidden="false" customHeight="true" outlineLevel="0" collapsed="false">
      <c r="A4" s="6" t="s">
        <v>4</v>
      </c>
      <c r="B4" s="7"/>
      <c r="C4" s="6" t="s">
        <v>5</v>
      </c>
      <c r="D4" s="7"/>
      <c r="E4" s="6" t="s">
        <v>6</v>
      </c>
      <c r="F4" s="8"/>
      <c r="G4" s="6" t="s">
        <v>7</v>
      </c>
      <c r="H4" s="8"/>
    </row>
    <row r="5" customFormat="false" ht="21.75" hidden="false" customHeight="true" outlineLevel="0" collapsed="false">
      <c r="A5" s="6" t="s">
        <v>8</v>
      </c>
      <c r="B5" s="9"/>
      <c r="C5" s="9"/>
      <c r="D5" s="9"/>
      <c r="E5" s="6" t="s">
        <v>9</v>
      </c>
      <c r="F5" s="10"/>
    </row>
    <row r="6" customFormat="false" ht="30" hidden="false" customHeight="true" outlineLevel="0" collapsed="false">
      <c r="A6" s="11" t="s">
        <v>10</v>
      </c>
      <c r="B6" s="11"/>
      <c r="C6" s="11"/>
      <c r="D6" s="11"/>
      <c r="E6" s="11"/>
      <c r="F6" s="11"/>
      <c r="G6" s="11"/>
      <c r="H6" s="11"/>
    </row>
    <row r="8" customFormat="false" ht="21.75" hidden="false" customHeight="true" outlineLevel="0" collapsed="false">
      <c r="A8" s="12" t="s">
        <v>11</v>
      </c>
      <c r="B8" s="12"/>
      <c r="C8" s="12"/>
      <c r="D8" s="12"/>
      <c r="E8" s="12"/>
      <c r="F8" s="12"/>
      <c r="G8" s="12"/>
      <c r="H8" s="12"/>
    </row>
    <row r="9" customFormat="false" ht="33.75" hidden="false" customHeight="true" outlineLevel="0" collapsed="false">
      <c r="A9" s="13" t="s">
        <v>12</v>
      </c>
      <c r="B9" s="13" t="s">
        <v>13</v>
      </c>
      <c r="C9" s="13" t="s">
        <v>14</v>
      </c>
      <c r="D9" s="13" t="s">
        <v>15</v>
      </c>
      <c r="E9" s="13" t="s">
        <v>16</v>
      </c>
      <c r="F9" s="13"/>
      <c r="G9" s="13"/>
      <c r="H9" s="13"/>
    </row>
    <row r="10" customFormat="false" ht="21.75" hidden="false" customHeight="true" outlineLevel="0" collapsed="false">
      <c r="A10" s="14" t="s">
        <v>17</v>
      </c>
      <c r="B10" s="15"/>
      <c r="C10" s="15"/>
      <c r="D10" s="16" t="str">
        <f aca="false">IF(N(B10)=0,"",C10/B10)</f>
        <v/>
      </c>
      <c r="E10" s="9"/>
      <c r="F10" s="9"/>
      <c r="G10" s="9"/>
      <c r="H10" s="9"/>
    </row>
    <row r="11" customFormat="false" ht="21.75" hidden="false" customHeight="true" outlineLevel="0" collapsed="false">
      <c r="A11" s="14" t="s">
        <v>18</v>
      </c>
      <c r="B11" s="15"/>
      <c r="C11" s="15"/>
      <c r="D11" s="16" t="str">
        <f aca="false">IF(N(B11)=0,"",C11/B11)</f>
        <v/>
      </c>
      <c r="E11" s="9"/>
      <c r="F11" s="9"/>
      <c r="G11" s="9"/>
      <c r="H11" s="9"/>
    </row>
    <row r="12" customFormat="false" ht="21.75" hidden="false" customHeight="true" outlineLevel="0" collapsed="false">
      <c r="A12" s="14" t="s">
        <v>19</v>
      </c>
      <c r="B12" s="15"/>
      <c r="C12" s="15"/>
      <c r="D12" s="16" t="str">
        <f aca="false">IF(N(B12)=0,"",C12/B12)</f>
        <v/>
      </c>
      <c r="E12" s="9"/>
      <c r="F12" s="9"/>
      <c r="G12" s="9"/>
      <c r="H12" s="9"/>
    </row>
    <row r="13" customFormat="false" ht="21.75" hidden="false" customHeight="true" outlineLevel="0" collapsed="false">
      <c r="A13" s="14" t="s">
        <v>20</v>
      </c>
      <c r="B13" s="15"/>
      <c r="C13" s="15"/>
      <c r="D13" s="16" t="str">
        <f aca="false">IF(N(B13)=0,"",C13/B13)</f>
        <v/>
      </c>
      <c r="E13" s="9"/>
      <c r="F13" s="9"/>
      <c r="G13" s="9"/>
      <c r="H13" s="9"/>
    </row>
    <row r="14" customFormat="false" ht="15" hidden="false" customHeight="false" outlineLevel="0" collapsed="false">
      <c r="A14" s="17" t="s">
        <v>21</v>
      </c>
      <c r="B14" s="18" t="n">
        <f aca="false">SUM(B10:B13)</f>
        <v>0</v>
      </c>
      <c r="C14" s="18" t="n">
        <f aca="false">SUM(C10:C13)</f>
        <v>0</v>
      </c>
      <c r="D14" s="19" t="str">
        <f aca="false">IF(B14=0,"",C14/B14)</f>
        <v/>
      </c>
      <c r="E14" s="17"/>
      <c r="F14" s="17"/>
      <c r="G14" s="17"/>
      <c r="H14" s="17"/>
    </row>
    <row r="16" customFormat="false" ht="21.75" hidden="false" customHeight="true" outlineLevel="0" collapsed="false">
      <c r="A16" s="12" t="s">
        <v>22</v>
      </c>
      <c r="B16" s="12"/>
      <c r="C16" s="12"/>
      <c r="D16" s="12"/>
      <c r="E16" s="12"/>
      <c r="F16" s="12"/>
      <c r="G16" s="12"/>
      <c r="H16" s="12"/>
    </row>
    <row r="17" customFormat="false" ht="33.75" hidden="false" customHeight="true" outlineLevel="0" collapsed="false">
      <c r="A17" s="13" t="s">
        <v>23</v>
      </c>
      <c r="B17" s="13" t="s">
        <v>24</v>
      </c>
      <c r="C17" s="13" t="s">
        <v>25</v>
      </c>
      <c r="D17" s="13" t="s">
        <v>26</v>
      </c>
      <c r="E17" s="13" t="s">
        <v>27</v>
      </c>
      <c r="F17" s="13" t="s">
        <v>28</v>
      </c>
      <c r="G17" s="13" t="s">
        <v>16</v>
      </c>
      <c r="H17" s="13"/>
    </row>
    <row r="18" customFormat="false" ht="21.75" hidden="false" customHeight="true" outlineLevel="0" collapsed="false">
      <c r="A18" s="9" t="s">
        <v>29</v>
      </c>
      <c r="B18" s="20"/>
      <c r="C18" s="20"/>
      <c r="D18" s="15"/>
      <c r="E18" s="21" t="str">
        <f aca="false">IF(OR(B18="",C18=""),"",C18-B18)</f>
        <v/>
      </c>
      <c r="F18" s="16" t="str">
        <f aca="false">IF(N(B18)=0,"",C18/B18)</f>
        <v/>
      </c>
      <c r="G18" s="9"/>
      <c r="H18" s="9"/>
    </row>
    <row r="19" customFormat="false" ht="21.75" hidden="false" customHeight="true" outlineLevel="0" collapsed="false">
      <c r="A19" s="9" t="s">
        <v>30</v>
      </c>
      <c r="B19" s="20"/>
      <c r="C19" s="20"/>
      <c r="D19" s="15"/>
      <c r="E19" s="21" t="str">
        <f aca="false">IF(OR(B19="",C19=""),"",C19-B19)</f>
        <v/>
      </c>
      <c r="F19" s="16" t="str">
        <f aca="false">IF(N(B19)=0,"",C19/B19)</f>
        <v/>
      </c>
      <c r="G19" s="9"/>
      <c r="H19" s="9"/>
    </row>
    <row r="20" customFormat="false" ht="21.75" hidden="false" customHeight="true" outlineLevel="0" collapsed="false">
      <c r="A20" s="9" t="s">
        <v>31</v>
      </c>
      <c r="B20" s="20"/>
      <c r="C20" s="20"/>
      <c r="D20" s="15"/>
      <c r="E20" s="21" t="str">
        <f aca="false">IF(OR(B20="",C20=""),"",C20-B20)</f>
        <v/>
      </c>
      <c r="F20" s="16" t="str">
        <f aca="false">IF(N(B20)=0,"",C20/B20)</f>
        <v/>
      </c>
      <c r="G20" s="9"/>
      <c r="H20" s="9"/>
    </row>
    <row r="21" customFormat="false" ht="21.75" hidden="false" customHeight="true" outlineLevel="0" collapsed="false">
      <c r="A21" s="9" t="s">
        <v>32</v>
      </c>
      <c r="B21" s="20"/>
      <c r="C21" s="20"/>
      <c r="D21" s="15"/>
      <c r="E21" s="21" t="str">
        <f aca="false">IF(OR(B21="",C21=""),"",C21-B21)</f>
        <v/>
      </c>
      <c r="F21" s="16" t="str">
        <f aca="false">IF(N(B21)=0,"",C21/B21)</f>
        <v/>
      </c>
      <c r="G21" s="9"/>
      <c r="H21" s="9"/>
    </row>
    <row r="22" customFormat="false" ht="21.75" hidden="false" customHeight="true" outlineLevel="0" collapsed="false">
      <c r="A22" s="9" t="s">
        <v>33</v>
      </c>
      <c r="B22" s="20"/>
      <c r="C22" s="20"/>
      <c r="D22" s="15"/>
      <c r="E22" s="21" t="str">
        <f aca="false">IF(OR(B22="",C22=""),"",C22-B22)</f>
        <v/>
      </c>
      <c r="F22" s="16" t="str">
        <f aca="false">IF(N(B22)=0,"",C22/B22)</f>
        <v/>
      </c>
      <c r="G22" s="9"/>
      <c r="H22" s="9"/>
    </row>
    <row r="23" customFormat="false" ht="15" hidden="false" customHeight="false" outlineLevel="0" collapsed="false">
      <c r="A23" s="17" t="s">
        <v>34</v>
      </c>
      <c r="B23" s="22" t="n">
        <f aca="false">SUM(B18:B22)</f>
        <v>0</v>
      </c>
      <c r="C23" s="22" t="n">
        <f aca="false">SUM(C18:C22)</f>
        <v>0</v>
      </c>
      <c r="D23" s="18" t="n">
        <f aca="false">SUM(D18:D22)</f>
        <v>0</v>
      </c>
      <c r="E23" s="23" t="n">
        <f aca="false">C23-B23</f>
        <v>0</v>
      </c>
      <c r="F23" s="19" t="str">
        <f aca="false">IF(B23=0,"",C23/B23)</f>
        <v/>
      </c>
      <c r="G23" s="17"/>
      <c r="H23" s="17"/>
    </row>
    <row r="25" customFormat="false" ht="21.75" hidden="false" customHeight="true" outlineLevel="0" collapsed="false">
      <c r="A25" s="12" t="s">
        <v>35</v>
      </c>
      <c r="B25" s="12"/>
      <c r="C25" s="12"/>
      <c r="D25" s="12"/>
      <c r="E25" s="12"/>
      <c r="F25" s="12"/>
      <c r="G25" s="12"/>
      <c r="H25" s="12"/>
    </row>
    <row r="26" customFormat="false" ht="33.75" hidden="false" customHeight="true" outlineLevel="0" collapsed="false">
      <c r="A26" s="13" t="s">
        <v>36</v>
      </c>
      <c r="B26" s="13" t="s">
        <v>37</v>
      </c>
      <c r="C26" s="13" t="s">
        <v>16</v>
      </c>
      <c r="D26" s="13"/>
      <c r="E26" s="13"/>
      <c r="F26" s="13"/>
      <c r="G26" s="13"/>
      <c r="H26" s="13"/>
    </row>
    <row r="27" customFormat="false" ht="21.75" hidden="false" customHeight="true" outlineLevel="0" collapsed="false">
      <c r="A27" s="14" t="s">
        <v>38</v>
      </c>
      <c r="B27" s="15"/>
      <c r="C27" s="9"/>
      <c r="D27" s="9"/>
      <c r="E27" s="9"/>
      <c r="F27" s="9"/>
      <c r="G27" s="9"/>
      <c r="H27" s="9"/>
    </row>
    <row r="28" customFormat="false" ht="21.75" hidden="false" customHeight="true" outlineLevel="0" collapsed="false">
      <c r="A28" s="14" t="s">
        <v>39</v>
      </c>
      <c r="B28" s="15"/>
      <c r="C28" s="9"/>
      <c r="D28" s="9"/>
      <c r="E28" s="9"/>
      <c r="F28" s="9"/>
      <c r="G28" s="9"/>
      <c r="H28" s="9"/>
    </row>
    <row r="29" customFormat="false" ht="21.75" hidden="false" customHeight="true" outlineLevel="0" collapsed="false">
      <c r="A29" s="14" t="s">
        <v>40</v>
      </c>
      <c r="B29" s="24" t="str">
        <f aca="false">IF(AND(B27="",B28=""),"",N(B27)-N(B28))</f>
        <v/>
      </c>
      <c r="C29" s="25"/>
      <c r="D29" s="25"/>
      <c r="E29" s="25"/>
      <c r="F29" s="25"/>
      <c r="G29" s="25"/>
      <c r="H29" s="25"/>
    </row>
    <row r="30" customFormat="false" ht="21.75" hidden="false" customHeight="true" outlineLevel="0" collapsed="false">
      <c r="A30" s="14" t="s">
        <v>41</v>
      </c>
      <c r="B30" s="15"/>
      <c r="C30" s="9"/>
      <c r="D30" s="9"/>
      <c r="E30" s="9"/>
      <c r="F30" s="9"/>
      <c r="G30" s="9"/>
      <c r="H30" s="9"/>
    </row>
    <row r="31" customFormat="false" ht="21.75" hidden="false" customHeight="true" outlineLevel="0" collapsed="false">
      <c r="A31" s="14" t="s">
        <v>42</v>
      </c>
      <c r="B31" s="15"/>
      <c r="C31" s="9"/>
      <c r="D31" s="9"/>
      <c r="E31" s="9"/>
      <c r="F31" s="9"/>
      <c r="G31" s="9"/>
      <c r="H31" s="9"/>
    </row>
    <row r="32" customFormat="false" ht="21.75" hidden="false" customHeight="true" outlineLevel="0" collapsed="false">
      <c r="A32" s="14" t="s">
        <v>43</v>
      </c>
      <c r="B32" s="15"/>
      <c r="C32" s="9"/>
      <c r="D32" s="9"/>
      <c r="E32" s="9"/>
      <c r="F32" s="9"/>
      <c r="G32" s="9"/>
      <c r="H32" s="9"/>
    </row>
    <row r="33" customFormat="false" ht="21.75" hidden="false" customHeight="true" outlineLevel="0" collapsed="false">
      <c r="A33" s="14" t="s">
        <v>44</v>
      </c>
      <c r="B33" s="16" t="str">
        <f aca="false">IF(N(B31)=0,"",B32/B31)</f>
        <v/>
      </c>
      <c r="C33" s="25"/>
      <c r="D33" s="25"/>
      <c r="E33" s="25"/>
      <c r="F33" s="25"/>
      <c r="G33" s="25"/>
      <c r="H33" s="25"/>
    </row>
    <row r="35" customFormat="false" ht="21.75" hidden="false" customHeight="true" outlineLevel="0" collapsed="false">
      <c r="A35" s="12" t="s">
        <v>45</v>
      </c>
      <c r="B35" s="12"/>
      <c r="C35" s="12"/>
      <c r="D35" s="12"/>
      <c r="E35" s="12"/>
      <c r="F35" s="12"/>
      <c r="G35" s="12"/>
      <c r="H35" s="12"/>
    </row>
    <row r="36" customFormat="false" ht="33.75" hidden="false" customHeight="true" outlineLevel="0" collapsed="false">
      <c r="A36" s="13" t="s">
        <v>46</v>
      </c>
      <c r="B36" s="13" t="s">
        <v>47</v>
      </c>
      <c r="C36" s="13" t="s">
        <v>48</v>
      </c>
      <c r="D36" s="13" t="s">
        <v>49</v>
      </c>
      <c r="E36" s="13" t="s">
        <v>50</v>
      </c>
      <c r="F36" s="13" t="s">
        <v>16</v>
      </c>
      <c r="G36" s="13"/>
      <c r="H36" s="13"/>
    </row>
    <row r="37" customFormat="false" ht="31.5" hidden="false" customHeight="true" outlineLevel="0" collapsed="false">
      <c r="A37" s="26" t="s">
        <v>51</v>
      </c>
      <c r="B37" s="27" t="s">
        <v>52</v>
      </c>
      <c r="C37" s="26" t="s">
        <v>53</v>
      </c>
      <c r="D37" s="28" t="n">
        <v>46325</v>
      </c>
      <c r="E37" s="27" t="s">
        <v>54</v>
      </c>
      <c r="F37" s="26" t="s">
        <v>55</v>
      </c>
      <c r="G37" s="26"/>
      <c r="H37" s="26"/>
    </row>
    <row r="38" customFormat="false" ht="27.75" hidden="false" customHeight="true" outlineLevel="0" collapsed="false">
      <c r="A38" s="9"/>
      <c r="B38" s="7"/>
      <c r="C38" s="9"/>
      <c r="D38" s="8"/>
      <c r="E38" s="7"/>
      <c r="F38" s="9"/>
      <c r="G38" s="9"/>
      <c r="H38" s="9"/>
    </row>
    <row r="39" customFormat="false" ht="27.75" hidden="false" customHeight="true" outlineLevel="0" collapsed="false">
      <c r="A39" s="9"/>
      <c r="B39" s="7"/>
      <c r="C39" s="9"/>
      <c r="D39" s="8"/>
      <c r="E39" s="7"/>
      <c r="F39" s="9"/>
      <c r="G39" s="9"/>
      <c r="H39" s="9"/>
    </row>
    <row r="40" customFormat="false" ht="27.75" hidden="false" customHeight="true" outlineLevel="0" collapsed="false">
      <c r="A40" s="9"/>
      <c r="B40" s="7"/>
      <c r="C40" s="9"/>
      <c r="D40" s="8"/>
      <c r="E40" s="7"/>
      <c r="F40" s="9"/>
      <c r="G40" s="9"/>
      <c r="H40" s="9"/>
    </row>
    <row r="41" customFormat="false" ht="27.75" hidden="false" customHeight="true" outlineLevel="0" collapsed="false">
      <c r="A41" s="9"/>
      <c r="B41" s="7"/>
      <c r="C41" s="9"/>
      <c r="D41" s="8"/>
      <c r="E41" s="7"/>
      <c r="F41" s="9"/>
      <c r="G41" s="9"/>
      <c r="H41" s="9"/>
    </row>
    <row r="42" customFormat="false" ht="27.75" hidden="false" customHeight="true" outlineLevel="0" collapsed="false">
      <c r="A42" s="9"/>
      <c r="B42" s="7"/>
      <c r="C42" s="9"/>
      <c r="D42" s="8"/>
      <c r="E42" s="7"/>
      <c r="F42" s="9"/>
      <c r="G42" s="9"/>
      <c r="H42" s="9"/>
    </row>
    <row r="43" customFormat="false" ht="27.75" hidden="false" customHeight="true" outlineLevel="0" collapsed="false">
      <c r="A43" s="9"/>
      <c r="B43" s="7"/>
      <c r="C43" s="9"/>
      <c r="D43" s="8"/>
      <c r="E43" s="7"/>
      <c r="F43" s="9"/>
      <c r="G43" s="9"/>
      <c r="H43" s="9"/>
    </row>
    <row r="44" customFormat="false" ht="27.75" hidden="false" customHeight="true" outlineLevel="0" collapsed="false">
      <c r="A44" s="9"/>
      <c r="B44" s="7"/>
      <c r="C44" s="9"/>
      <c r="D44" s="8"/>
      <c r="E44" s="7"/>
      <c r="F44" s="9"/>
      <c r="G44" s="9"/>
      <c r="H44" s="9"/>
    </row>
    <row r="45" customFormat="false" ht="27.75" hidden="false" customHeight="true" outlineLevel="0" collapsed="false">
      <c r="A45" s="9"/>
      <c r="B45" s="7"/>
      <c r="C45" s="9"/>
      <c r="D45" s="8"/>
      <c r="E45" s="7"/>
      <c r="F45" s="9"/>
      <c r="G45" s="9"/>
      <c r="H45" s="9"/>
    </row>
  </sheetData>
  <mergeCells count="37">
    <mergeCell ref="B5:D5"/>
    <mergeCell ref="A6:H6"/>
    <mergeCell ref="A8:H8"/>
    <mergeCell ref="E9:H9"/>
    <mergeCell ref="E10:H10"/>
    <mergeCell ref="E11:H11"/>
    <mergeCell ref="E12:H12"/>
    <mergeCell ref="E13:H13"/>
    <mergeCell ref="E14:H14"/>
    <mergeCell ref="A16:H16"/>
    <mergeCell ref="G17:H17"/>
    <mergeCell ref="G18:H18"/>
    <mergeCell ref="G19:H19"/>
    <mergeCell ref="G20:H20"/>
    <mergeCell ref="G21:H21"/>
    <mergeCell ref="G22:H22"/>
    <mergeCell ref="G23:H23"/>
    <mergeCell ref="A25:H25"/>
    <mergeCell ref="C26:H26"/>
    <mergeCell ref="C27:H27"/>
    <mergeCell ref="C28:H28"/>
    <mergeCell ref="C29:H29"/>
    <mergeCell ref="C30:H30"/>
    <mergeCell ref="C31:H31"/>
    <mergeCell ref="C32:H32"/>
    <mergeCell ref="C33:H33"/>
    <mergeCell ref="A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</mergeCells>
  <conditionalFormatting sqref="F5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"At risk"</formula>
    </cfRule>
    <cfRule type="cellIs" priority="4" operator="equal" aboveAverage="0" equalAverage="0" bottom="0" percent="0" rank="0" text="" dxfId="2">
      <formula>"Off track"</formula>
    </cfRule>
  </conditionalFormatting>
  <dataValidations count="3">
    <dataValidation allowBlank="true" error="Elija un valor de la lista." errorStyle="stop" errorTitle="Valor no válido" operator="between" showDropDown="false" showErrorMessage="true" showInputMessage="false" sqref="F5" type="list">
      <formula1>"On track,At risk,Off track,Complete"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38:B45" type="list">
      <formula1>"Decisión,Riesgo,Acción"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E38:E45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2026-10-26T03:01:48Z</dcterms:created>
  <dc:creator>openpyxl</dc:creator>
  <dc:description/>
  <dc:language>en-US</dc:language>
  <cp:lastModifiedBy/>
  <dcterms:modified xsi:type="dcterms:W3CDTF">2026-10-26T03:01:48Z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