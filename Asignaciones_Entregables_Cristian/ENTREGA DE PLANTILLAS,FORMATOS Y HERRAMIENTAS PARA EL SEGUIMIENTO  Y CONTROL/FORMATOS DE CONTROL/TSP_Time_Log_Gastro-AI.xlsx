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_Log" sheetId="1" state="visible" r:id="rId3"/>
    <sheet name="Resumen" sheetId="2" state="visible" r:id="rId4"/>
  </sheets>
  <definedNames>
    <definedName function="false" hidden="false" localSheetId="0" name="_xlnm.Print_Titles" vbProcedure="false">Time_Log!$1:$5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<sst xmlns="http://schemas.openxmlformats.org/spreadsheetml/2006/main" count="41" uniqueCount="34">
  <si>
    <t xml:space="preserve">TSP TIME LOG – Registro de tiempos de desarrollo</t>
  </si>
  <si>
    <t xml:space="preserve">Gastro-AI · Equipo Ragnar Tech · Monitoreo y control con TSP y GitHub Projects</t>
  </si>
  <si>
    <t xml:space="preserve">Proyecto:</t>
  </si>
  <si>
    <t xml:space="preserve">GASTRO-AI_USC2026B</t>
  </si>
  <si>
    <t xml:space="preserve">Semana / Sprint:</t>
  </si>
  <si>
    <t xml:space="preserve">Cómo llenarlo: complete a mano las celdas amarillas (fecha, integrante, etapa, issue o código EDT, actividad, hora de inicio y fin, minutos de interrupción y horas estimadas). Las celdas grises se calculan solas; no las edite. La fila «EJ.» es solo un ejemplo y no se suma en los totales.</t>
  </si>
  <si>
    <t xml:space="preserve">N.º</t>
  </si>
  <si>
    <t xml:space="preserve">Fecha</t>
  </si>
  <si>
    <t xml:space="preserve">Integrante</t>
  </si>
  <si>
    <t xml:space="preserve">Etapa</t>
  </si>
  <si>
    <t xml:space="preserve">Issue / Código EDT</t>
  </si>
  <si>
    <t xml:space="preserve">Actividad</t>
  </si>
  <si>
    <t xml:space="preserve">Hora inicio</t>
  </si>
  <si>
    <t xml:space="preserve">Hora fin</t>
  </si>
  <si>
    <t xml:space="preserve">Minutos de interrupción</t>
  </si>
  <si>
    <t xml:space="preserve">Minutos netos</t>
  </si>
  <si>
    <t xml:space="preserve">Horas reales</t>
  </si>
  <si>
    <t xml:space="preserve">Horas estimadas</t>
  </si>
  <si>
    <t xml:space="preserve">Desviación (h)</t>
  </si>
  <si>
    <t xml:space="preserve">Observaciones</t>
  </si>
  <si>
    <t xml:space="preserve">EJ.</t>
  </si>
  <si>
    <t xml:space="preserve">Nombre Apellido</t>
  </si>
  <si>
    <t xml:space="preserve">Diseño</t>
  </si>
  <si>
    <t xml:space="preserve">#12 / 1.3.2.1</t>
  </si>
  <si>
    <t xml:space="preserve">Diagrama de arquitectura en capas</t>
  </si>
  <si>
    <t xml:space="preserve">Incluye reunión de revisión</t>
  </si>
  <si>
    <t xml:space="preserve">TOTAL</t>
  </si>
  <si>
    <t xml:space="preserve">Resumen de esfuerzo por etapa</t>
  </si>
  <si>
    <t xml:space="preserve">Se calcula solo a partir de la hoja Time_Log. No editar.</t>
  </si>
  <si>
    <t xml:space="preserve">Horas reales / estimadas</t>
  </si>
  <si>
    <t xml:space="preserve">Análisis/Planeación</t>
  </si>
  <si>
    <t xml:space="preserve">Construcción/Codificación</t>
  </si>
  <si>
    <t xml:space="preserve">Pruebas y Post Mortem</t>
  </si>
  <si>
    <t xml:space="preserve">Las horas reales salen de la hora de inicio y fin menos las interrupciones. Una desviación positiva indica que se gastó más tiempo del estimado.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</si>
</sst>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hh:mm"/>
    <numFmt numFmtId="167" formatCode="0"/>
    <numFmt numFmtId="168" formatCode="0.00"/>
    <numFmt numFmtId="169" formatCode="0.00;\-0.00;0.00"/>
    <numFmt numFmtId="170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757"/>
      <name val="Arial"/>
      <family val="0"/>
      <charset val="1"/>
    </font>
    <font>
      <sz val="10"/>
      <color rgb="FF5B6B7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B6B7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B6B6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3F3F3"/>
      </patternFill>
    </fill>
    <fill>
      <patternFill patternType="solid">
        <fgColor rgb="FF1A3757"/>
        <bgColor rgb="FF333333"/>
      </patternFill>
    </fill>
    <fill>
      <patternFill patternType="solid">
        <fgColor rgb="FFF3F3F3"/>
        <bgColor rgb="FFE8EDF3"/>
      </patternFill>
    </fill>
    <fill>
      <patternFill patternType="solid">
        <fgColor rgb="FFE8EDF3"/>
        <bgColor rgb="FFF3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08A24"/>
      </bottom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2"/>
      <rgbColor rgb="FF6B6B6B"/>
      <rgbColor rgb="FF9999FF"/>
      <rgbColor rgb="FF993366"/>
      <rgbColor rgb="FFFFF2CC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8A24"/>
      <rgbColor rgb="FFFF6600"/>
      <rgbColor rgb="FF5B6B7C"/>
      <rgbColor rgb="FF969696"/>
      <rgbColor rgb="FF1A37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561600</xdr:colOff>
      <xdr:row>1</xdr:row>
      <xdr:rowOff>152280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561600" cy="552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504360</xdr:colOff>
      <xdr:row>1</xdr:row>
      <xdr:rowOff>95040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50436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38"/>
    <col collapsed="false" customWidth="true" hidden="false" outlineLevel="0" max="8" min="7" style="0" width="9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31.5" hidden="false" customHeight="true" outlineLevel="0" collapsed="false">
      <c r="C1" s="1" t="s">
        <v>0</v>
      </c>
    </row>
    <row r="2" customFormat="false" ht="27.75" hidden="false" customHeight="true" outlineLevel="0" collapsed="false">
      <c r="A2" s="2"/>
      <c r="B2" s="2"/>
      <c r="C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4" t="s">
        <v>2</v>
      </c>
      <c r="C3" s="5" t="s">
        <v>3</v>
      </c>
      <c r="D3" s="6" t="s">
        <v>4</v>
      </c>
      <c r="E3" s="7"/>
    </row>
    <row r="4" customFormat="false" ht="33.75" hidden="false" customHeight="true" outlineLevel="0" collapsed="false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customFormat="false" ht="43.5" hidden="false" customHeight="true" outlineLevel="0" collapsed="false">
      <c r="A5" s="9" t="s">
        <v>6</v>
      </c>
      <c r="B5" s="9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19</v>
      </c>
    </row>
    <row r="6" customFormat="false" ht="15" hidden="false" customHeight="false" outlineLevel="0" collapsed="false">
      <c r="A6" s="10" t="s">
        <v>20</v>
      </c>
      <c r="B6" s="11" t="n">
        <v>46321</v>
      </c>
      <c r="C6" s="12" t="s">
        <v>21</v>
      </c>
      <c r="D6" s="12" t="s">
        <v>22</v>
      </c>
      <c r="E6" s="10" t="s">
        <v>23</v>
      </c>
      <c r="F6" s="12" t="s">
        <v>24</v>
      </c>
      <c r="G6" s="13" t="n">
        <v>0.333333333333333</v>
      </c>
      <c r="H6" s="13" t="n">
        <v>0.4375</v>
      </c>
      <c r="I6" s="14" t="n">
        <v>15</v>
      </c>
      <c r="J6" s="14" t="n">
        <f aca="false">IF(OR(G6="",H6=""),"",ROUND((H6-G6)*1440-N(I6),0))</f>
        <v>135</v>
      </c>
      <c r="K6" s="15" t="n">
        <f aca="false">IF(J6="","",ROUND(J6/60,2))</f>
        <v>2.25</v>
      </c>
      <c r="L6" s="15" t="n">
        <v>2.5</v>
      </c>
      <c r="M6" s="16" t="n">
        <f aca="false">IF(OR(K6="",L6=""),"",ROUND(K6-L6,2))</f>
        <v>-0.25</v>
      </c>
      <c r="N6" s="12" t="s">
        <v>25</v>
      </c>
    </row>
    <row r="7" customFormat="false" ht="19.5" hidden="false" customHeight="true" outlineLevel="0" collapsed="false">
      <c r="A7" s="17" t="n">
        <v>1</v>
      </c>
      <c r="B7" s="18"/>
      <c r="C7" s="19"/>
      <c r="D7" s="19"/>
      <c r="E7" s="7"/>
      <c r="F7" s="19"/>
      <c r="G7" s="20"/>
      <c r="H7" s="20"/>
      <c r="I7" s="21"/>
      <c r="J7" s="22" t="str">
        <f aca="false">IF(OR(G7="",H7=""),"",ROUND((H7-G7)*1440-N(I7),0))</f>
        <v/>
      </c>
      <c r="K7" s="23" t="str">
        <f aca="false">IF(J7="","",ROUND(J7/60,2))</f>
        <v/>
      </c>
      <c r="L7" s="24"/>
      <c r="M7" s="25" t="str">
        <f aca="false">IF(OR(K7="",L7=""),"",ROUND(K7-L7,2))</f>
        <v/>
      </c>
      <c r="N7" s="19"/>
    </row>
    <row r="8" customFormat="false" ht="19.5" hidden="false" customHeight="true" outlineLevel="0" collapsed="false">
      <c r="A8" s="17" t="n">
        <v>2</v>
      </c>
      <c r="B8" s="18"/>
      <c r="C8" s="19"/>
      <c r="D8" s="19"/>
      <c r="E8" s="7"/>
      <c r="F8" s="19"/>
      <c r="G8" s="20"/>
      <c r="H8" s="20"/>
      <c r="I8" s="21"/>
      <c r="J8" s="22" t="str">
        <f aca="false">IF(OR(G8="",H8=""),"",ROUND((H8-G8)*1440-N(I8),0))</f>
        <v/>
      </c>
      <c r="K8" s="23" t="str">
        <f aca="false">IF(J8="","",ROUND(J8/60,2))</f>
        <v/>
      </c>
      <c r="L8" s="24"/>
      <c r="M8" s="25" t="str">
        <f aca="false">IF(OR(K8="",L8=""),"",ROUND(K8-L8,2))</f>
        <v/>
      </c>
      <c r="N8" s="19"/>
    </row>
    <row r="9" customFormat="false" ht="19.5" hidden="false" customHeight="true" outlineLevel="0" collapsed="false">
      <c r="A9" s="17" t="n">
        <v>3</v>
      </c>
      <c r="B9" s="18"/>
      <c r="C9" s="19"/>
      <c r="D9" s="19"/>
      <c r="E9" s="7"/>
      <c r="F9" s="19"/>
      <c r="G9" s="20"/>
      <c r="H9" s="20"/>
      <c r="I9" s="21"/>
      <c r="J9" s="22" t="str">
        <f aca="false">IF(OR(G9="",H9=""),"",ROUND((H9-G9)*1440-N(I9),0))</f>
        <v/>
      </c>
      <c r="K9" s="23" t="str">
        <f aca="false">IF(J9="","",ROUND(J9/60,2))</f>
        <v/>
      </c>
      <c r="L9" s="24"/>
      <c r="M9" s="25" t="str">
        <f aca="false">IF(OR(K9="",L9=""),"",ROUND(K9-L9,2))</f>
        <v/>
      </c>
      <c r="N9" s="19"/>
    </row>
    <row r="10" customFormat="false" ht="19.5" hidden="false" customHeight="true" outlineLevel="0" collapsed="false">
      <c r="A10" s="17" t="n">
        <v>4</v>
      </c>
      <c r="B10" s="18"/>
      <c r="C10" s="19"/>
      <c r="D10" s="19"/>
      <c r="E10" s="7"/>
      <c r="F10" s="19"/>
      <c r="G10" s="20"/>
      <c r="H10" s="20"/>
      <c r="I10" s="21"/>
      <c r="J10" s="22" t="str">
        <f aca="false">IF(OR(G10="",H10=""),"",ROUND((H10-G10)*1440-N(I10),0))</f>
        <v/>
      </c>
      <c r="K10" s="23" t="str">
        <f aca="false">IF(J10="","",ROUND(J10/60,2))</f>
        <v/>
      </c>
      <c r="L10" s="24"/>
      <c r="M10" s="25" t="str">
        <f aca="false">IF(OR(K10="",L10=""),"",ROUND(K10-L10,2))</f>
        <v/>
      </c>
      <c r="N10" s="19"/>
    </row>
    <row r="11" customFormat="false" ht="19.5" hidden="false" customHeight="true" outlineLevel="0" collapsed="false">
      <c r="A11" s="17" t="n">
        <v>5</v>
      </c>
      <c r="B11" s="18"/>
      <c r="C11" s="19"/>
      <c r="D11" s="19"/>
      <c r="E11" s="7"/>
      <c r="F11" s="19"/>
      <c r="G11" s="20"/>
      <c r="H11" s="20"/>
      <c r="I11" s="21"/>
      <c r="J11" s="22" t="str">
        <f aca="false">IF(OR(G11="",H11=""),"",ROUND((H11-G11)*1440-N(I11),0))</f>
        <v/>
      </c>
      <c r="K11" s="23" t="str">
        <f aca="false">IF(J11="","",ROUND(J11/60,2))</f>
        <v/>
      </c>
      <c r="L11" s="24"/>
      <c r="M11" s="25" t="str">
        <f aca="false">IF(OR(K11="",L11=""),"",ROUND(K11-L11,2))</f>
        <v/>
      </c>
      <c r="N11" s="19"/>
    </row>
    <row r="12" customFormat="false" ht="19.5" hidden="false" customHeight="true" outlineLevel="0" collapsed="false">
      <c r="A12" s="17" t="n">
        <v>6</v>
      </c>
      <c r="B12" s="18"/>
      <c r="C12" s="19"/>
      <c r="D12" s="19"/>
      <c r="E12" s="7"/>
      <c r="F12" s="19"/>
      <c r="G12" s="20"/>
      <c r="H12" s="20"/>
      <c r="I12" s="21"/>
      <c r="J12" s="22" t="str">
        <f aca="false">IF(OR(G12="",H12=""),"",ROUND((H12-G12)*1440-N(I12),0))</f>
        <v/>
      </c>
      <c r="K12" s="23" t="str">
        <f aca="false">IF(J12="","",ROUND(J12/60,2))</f>
        <v/>
      </c>
      <c r="L12" s="24"/>
      <c r="M12" s="25" t="str">
        <f aca="false">IF(OR(K12="",L12=""),"",ROUND(K12-L12,2))</f>
        <v/>
      </c>
      <c r="N12" s="19"/>
    </row>
    <row r="13" customFormat="false" ht="19.5" hidden="false" customHeight="true" outlineLevel="0" collapsed="false">
      <c r="A13" s="17" t="n">
        <v>7</v>
      </c>
      <c r="B13" s="18"/>
      <c r="C13" s="19"/>
      <c r="D13" s="19"/>
      <c r="E13" s="7"/>
      <c r="F13" s="19"/>
      <c r="G13" s="20"/>
      <c r="H13" s="20"/>
      <c r="I13" s="21"/>
      <c r="J13" s="22" t="str">
        <f aca="false">IF(OR(G13="",H13=""),"",ROUND((H13-G13)*1440-N(I13),0))</f>
        <v/>
      </c>
      <c r="K13" s="23" t="str">
        <f aca="false">IF(J13="","",ROUND(J13/60,2))</f>
        <v/>
      </c>
      <c r="L13" s="24"/>
      <c r="M13" s="25" t="str">
        <f aca="false">IF(OR(K13="",L13=""),"",ROUND(K13-L13,2))</f>
        <v/>
      </c>
      <c r="N13" s="19"/>
    </row>
    <row r="14" customFormat="false" ht="19.5" hidden="false" customHeight="true" outlineLevel="0" collapsed="false">
      <c r="A14" s="17" t="n">
        <v>8</v>
      </c>
      <c r="B14" s="18"/>
      <c r="C14" s="19"/>
      <c r="D14" s="19"/>
      <c r="E14" s="7"/>
      <c r="F14" s="19"/>
      <c r="G14" s="20"/>
      <c r="H14" s="20"/>
      <c r="I14" s="21"/>
      <c r="J14" s="22" t="str">
        <f aca="false">IF(OR(G14="",H14=""),"",ROUND((H14-G14)*1440-N(I14),0))</f>
        <v/>
      </c>
      <c r="K14" s="23" t="str">
        <f aca="false">IF(J14="","",ROUND(J14/60,2))</f>
        <v/>
      </c>
      <c r="L14" s="24"/>
      <c r="M14" s="25" t="str">
        <f aca="false">IF(OR(K14="",L14=""),"",ROUND(K14-L14,2))</f>
        <v/>
      </c>
      <c r="N14" s="19"/>
    </row>
    <row r="15" customFormat="false" ht="19.5" hidden="false" customHeight="true" outlineLevel="0" collapsed="false">
      <c r="A15" s="17" t="n">
        <v>9</v>
      </c>
      <c r="B15" s="18"/>
      <c r="C15" s="19"/>
      <c r="D15" s="19"/>
      <c r="E15" s="7"/>
      <c r="F15" s="19"/>
      <c r="G15" s="20"/>
      <c r="H15" s="20"/>
      <c r="I15" s="21"/>
      <c r="J15" s="22" t="str">
        <f aca="false">IF(OR(G15="",H15=""),"",ROUND((H15-G15)*1440-N(I15),0))</f>
        <v/>
      </c>
      <c r="K15" s="23" t="str">
        <f aca="false">IF(J15="","",ROUND(J15/60,2))</f>
        <v/>
      </c>
      <c r="L15" s="24"/>
      <c r="M15" s="25" t="str">
        <f aca="false">IF(OR(K15="",L15=""),"",ROUND(K15-L15,2))</f>
        <v/>
      </c>
      <c r="N15" s="19"/>
    </row>
    <row r="16" customFormat="false" ht="19.5" hidden="false" customHeight="true" outlineLevel="0" collapsed="false">
      <c r="A16" s="17" t="n">
        <v>10</v>
      </c>
      <c r="B16" s="18"/>
      <c r="C16" s="19"/>
      <c r="D16" s="19"/>
      <c r="E16" s="7"/>
      <c r="F16" s="19"/>
      <c r="G16" s="20"/>
      <c r="H16" s="20"/>
      <c r="I16" s="21"/>
      <c r="J16" s="22" t="str">
        <f aca="false">IF(OR(G16="",H16=""),"",ROUND((H16-G16)*1440-N(I16),0))</f>
        <v/>
      </c>
      <c r="K16" s="23" t="str">
        <f aca="false">IF(J16="","",ROUND(J16/60,2))</f>
        <v/>
      </c>
      <c r="L16" s="24"/>
      <c r="M16" s="25" t="str">
        <f aca="false">IF(OR(K16="",L16=""),"",ROUND(K16-L16,2))</f>
        <v/>
      </c>
      <c r="N16" s="19"/>
    </row>
    <row r="17" customFormat="false" ht="19.5" hidden="false" customHeight="true" outlineLevel="0" collapsed="false">
      <c r="A17" s="17" t="n">
        <v>11</v>
      </c>
      <c r="B17" s="18"/>
      <c r="C17" s="19"/>
      <c r="D17" s="19"/>
      <c r="E17" s="7"/>
      <c r="F17" s="19"/>
      <c r="G17" s="20"/>
      <c r="H17" s="20"/>
      <c r="I17" s="21"/>
      <c r="J17" s="22" t="str">
        <f aca="false">IF(OR(G17="",H17=""),"",ROUND((H17-G17)*1440-N(I17),0))</f>
        <v/>
      </c>
      <c r="K17" s="23" t="str">
        <f aca="false">IF(J17="","",ROUND(J17/60,2))</f>
        <v/>
      </c>
      <c r="L17" s="24"/>
      <c r="M17" s="25" t="str">
        <f aca="false">IF(OR(K17="",L17=""),"",ROUND(K17-L17,2))</f>
        <v/>
      </c>
      <c r="N17" s="19"/>
    </row>
    <row r="18" customFormat="false" ht="19.5" hidden="false" customHeight="true" outlineLevel="0" collapsed="false">
      <c r="A18" s="17" t="n">
        <v>12</v>
      </c>
      <c r="B18" s="18"/>
      <c r="C18" s="19"/>
      <c r="D18" s="19"/>
      <c r="E18" s="7"/>
      <c r="F18" s="19"/>
      <c r="G18" s="20"/>
      <c r="H18" s="20"/>
      <c r="I18" s="21"/>
      <c r="J18" s="22" t="str">
        <f aca="false">IF(OR(G18="",H18=""),"",ROUND((H18-G18)*1440-N(I18),0))</f>
        <v/>
      </c>
      <c r="K18" s="23" t="str">
        <f aca="false">IF(J18="","",ROUND(J18/60,2))</f>
        <v/>
      </c>
      <c r="L18" s="24"/>
      <c r="M18" s="25" t="str">
        <f aca="false">IF(OR(K18="",L18=""),"",ROUND(K18-L18,2))</f>
        <v/>
      </c>
      <c r="N18" s="19"/>
    </row>
    <row r="19" customFormat="false" ht="19.5" hidden="false" customHeight="true" outlineLevel="0" collapsed="false">
      <c r="A19" s="17" t="n">
        <v>13</v>
      </c>
      <c r="B19" s="18"/>
      <c r="C19" s="19"/>
      <c r="D19" s="19"/>
      <c r="E19" s="7"/>
      <c r="F19" s="19"/>
      <c r="G19" s="20"/>
      <c r="H19" s="20"/>
      <c r="I19" s="21"/>
      <c r="J19" s="22" t="str">
        <f aca="false">IF(OR(G19="",H19=""),"",ROUND((H19-G19)*1440-N(I19),0))</f>
        <v/>
      </c>
      <c r="K19" s="23" t="str">
        <f aca="false">IF(J19="","",ROUND(J19/60,2))</f>
        <v/>
      </c>
      <c r="L19" s="24"/>
      <c r="M19" s="25" t="str">
        <f aca="false">IF(OR(K19="",L19=""),"",ROUND(K19-L19,2))</f>
        <v/>
      </c>
      <c r="N19" s="19"/>
    </row>
    <row r="20" customFormat="false" ht="19.5" hidden="false" customHeight="true" outlineLevel="0" collapsed="false">
      <c r="A20" s="17" t="n">
        <v>14</v>
      </c>
      <c r="B20" s="18"/>
      <c r="C20" s="19"/>
      <c r="D20" s="19"/>
      <c r="E20" s="7"/>
      <c r="F20" s="19"/>
      <c r="G20" s="20"/>
      <c r="H20" s="20"/>
      <c r="I20" s="21"/>
      <c r="J20" s="22" t="str">
        <f aca="false">IF(OR(G20="",H20=""),"",ROUND((H20-G20)*1440-N(I20),0))</f>
        <v/>
      </c>
      <c r="K20" s="23" t="str">
        <f aca="false">IF(J20="","",ROUND(J20/60,2))</f>
        <v/>
      </c>
      <c r="L20" s="24"/>
      <c r="M20" s="25" t="str">
        <f aca="false">IF(OR(K20="",L20=""),"",ROUND(K20-L20,2))</f>
        <v/>
      </c>
      <c r="N20" s="19"/>
    </row>
    <row r="21" customFormat="false" ht="19.5" hidden="false" customHeight="true" outlineLevel="0" collapsed="false">
      <c r="A21" s="17" t="n">
        <v>15</v>
      </c>
      <c r="B21" s="18"/>
      <c r="C21" s="19"/>
      <c r="D21" s="19"/>
      <c r="E21" s="7"/>
      <c r="F21" s="19"/>
      <c r="G21" s="20"/>
      <c r="H21" s="20"/>
      <c r="I21" s="21"/>
      <c r="J21" s="22" t="str">
        <f aca="false">IF(OR(G21="",H21=""),"",ROUND((H21-G21)*1440-N(I21),0))</f>
        <v/>
      </c>
      <c r="K21" s="23" t="str">
        <f aca="false">IF(J21="","",ROUND(J21/60,2))</f>
        <v/>
      </c>
      <c r="L21" s="24"/>
      <c r="M21" s="25" t="str">
        <f aca="false">IF(OR(K21="",L21=""),"",ROUND(K21-L21,2))</f>
        <v/>
      </c>
      <c r="N21" s="19"/>
    </row>
    <row r="22" customFormat="false" ht="19.5" hidden="false" customHeight="true" outlineLevel="0" collapsed="false">
      <c r="A22" s="17" t="n">
        <v>16</v>
      </c>
      <c r="B22" s="18"/>
      <c r="C22" s="19"/>
      <c r="D22" s="19"/>
      <c r="E22" s="7"/>
      <c r="F22" s="19"/>
      <c r="G22" s="20"/>
      <c r="H22" s="20"/>
      <c r="I22" s="21"/>
      <c r="J22" s="22" t="str">
        <f aca="false">IF(OR(G22="",H22=""),"",ROUND((H22-G22)*1440-N(I22),0))</f>
        <v/>
      </c>
      <c r="K22" s="23" t="str">
        <f aca="false">IF(J22="","",ROUND(J22/60,2))</f>
        <v/>
      </c>
      <c r="L22" s="24"/>
      <c r="M22" s="25" t="str">
        <f aca="false">IF(OR(K22="",L22=""),"",ROUND(K22-L22,2))</f>
        <v/>
      </c>
      <c r="N22" s="19"/>
    </row>
    <row r="23" customFormat="false" ht="19.5" hidden="false" customHeight="true" outlineLevel="0" collapsed="false">
      <c r="A23" s="17" t="n">
        <v>17</v>
      </c>
      <c r="B23" s="18"/>
      <c r="C23" s="19"/>
      <c r="D23" s="19"/>
      <c r="E23" s="7"/>
      <c r="F23" s="19"/>
      <c r="G23" s="20"/>
      <c r="H23" s="20"/>
      <c r="I23" s="21"/>
      <c r="J23" s="22" t="str">
        <f aca="false">IF(OR(G23="",H23=""),"",ROUND((H23-G23)*1440-N(I23),0))</f>
        <v/>
      </c>
      <c r="K23" s="23" t="str">
        <f aca="false">IF(J23="","",ROUND(J23/60,2))</f>
        <v/>
      </c>
      <c r="L23" s="24"/>
      <c r="M23" s="25" t="str">
        <f aca="false">IF(OR(K23="",L23=""),"",ROUND(K23-L23,2))</f>
        <v/>
      </c>
      <c r="N23" s="19"/>
    </row>
    <row r="24" customFormat="false" ht="19.5" hidden="false" customHeight="true" outlineLevel="0" collapsed="false">
      <c r="A24" s="17" t="n">
        <v>18</v>
      </c>
      <c r="B24" s="18"/>
      <c r="C24" s="19"/>
      <c r="D24" s="19"/>
      <c r="E24" s="7"/>
      <c r="F24" s="19"/>
      <c r="G24" s="20"/>
      <c r="H24" s="20"/>
      <c r="I24" s="21"/>
      <c r="J24" s="22" t="str">
        <f aca="false">IF(OR(G24="",H24=""),"",ROUND((H24-G24)*1440-N(I24),0))</f>
        <v/>
      </c>
      <c r="K24" s="23" t="str">
        <f aca="false">IF(J24="","",ROUND(J24/60,2))</f>
        <v/>
      </c>
      <c r="L24" s="24"/>
      <c r="M24" s="25" t="str">
        <f aca="false">IF(OR(K24="",L24=""),"",ROUND(K24-L24,2))</f>
        <v/>
      </c>
      <c r="N24" s="19"/>
    </row>
    <row r="25" customFormat="false" ht="19.5" hidden="false" customHeight="true" outlineLevel="0" collapsed="false">
      <c r="A25" s="17" t="n">
        <v>19</v>
      </c>
      <c r="B25" s="18"/>
      <c r="C25" s="19"/>
      <c r="D25" s="19"/>
      <c r="E25" s="7"/>
      <c r="F25" s="19"/>
      <c r="G25" s="20"/>
      <c r="H25" s="20"/>
      <c r="I25" s="21"/>
      <c r="J25" s="22" t="str">
        <f aca="false">IF(OR(G25="",H25=""),"",ROUND((H25-G25)*1440-N(I25),0))</f>
        <v/>
      </c>
      <c r="K25" s="23" t="str">
        <f aca="false">IF(J25="","",ROUND(J25/60,2))</f>
        <v/>
      </c>
      <c r="L25" s="24"/>
      <c r="M25" s="25" t="str">
        <f aca="false">IF(OR(K25="",L25=""),"",ROUND(K25-L25,2))</f>
        <v/>
      </c>
      <c r="N25" s="19"/>
    </row>
    <row r="26" customFormat="false" ht="19.5" hidden="false" customHeight="true" outlineLevel="0" collapsed="false">
      <c r="A26" s="17" t="n">
        <v>20</v>
      </c>
      <c r="B26" s="18"/>
      <c r="C26" s="19"/>
      <c r="D26" s="19"/>
      <c r="E26" s="7"/>
      <c r="F26" s="19"/>
      <c r="G26" s="20"/>
      <c r="H26" s="20"/>
      <c r="I26" s="21"/>
      <c r="J26" s="22" t="str">
        <f aca="false">IF(OR(G26="",H26=""),"",ROUND((H26-G26)*1440-N(I26),0))</f>
        <v/>
      </c>
      <c r="K26" s="23" t="str">
        <f aca="false">IF(J26="","",ROUND(J26/60,2))</f>
        <v/>
      </c>
      <c r="L26" s="24"/>
      <c r="M26" s="25" t="str">
        <f aca="false">IF(OR(K26="",L26=""),"",ROUND(K26-L26,2))</f>
        <v/>
      </c>
      <c r="N26" s="19"/>
    </row>
    <row r="27" customFormat="false" ht="19.5" hidden="false" customHeight="true" outlineLevel="0" collapsed="false">
      <c r="A27" s="17" t="n">
        <v>21</v>
      </c>
      <c r="B27" s="18"/>
      <c r="C27" s="19"/>
      <c r="D27" s="19"/>
      <c r="E27" s="7"/>
      <c r="F27" s="19"/>
      <c r="G27" s="20"/>
      <c r="H27" s="20"/>
      <c r="I27" s="21"/>
      <c r="J27" s="22" t="str">
        <f aca="false">IF(OR(G27="",H27=""),"",ROUND((H27-G27)*1440-N(I27),0))</f>
        <v/>
      </c>
      <c r="K27" s="23" t="str">
        <f aca="false">IF(J27="","",ROUND(J27/60,2))</f>
        <v/>
      </c>
      <c r="L27" s="24"/>
      <c r="M27" s="25" t="str">
        <f aca="false">IF(OR(K27="",L27=""),"",ROUND(K27-L27,2))</f>
        <v/>
      </c>
      <c r="N27" s="19"/>
    </row>
    <row r="28" customFormat="false" ht="19.5" hidden="false" customHeight="true" outlineLevel="0" collapsed="false">
      <c r="A28" s="17" t="n">
        <v>22</v>
      </c>
      <c r="B28" s="18"/>
      <c r="C28" s="19"/>
      <c r="D28" s="19"/>
      <c r="E28" s="7"/>
      <c r="F28" s="19"/>
      <c r="G28" s="20"/>
      <c r="H28" s="20"/>
      <c r="I28" s="21"/>
      <c r="J28" s="22" t="str">
        <f aca="false">IF(OR(G28="",H28=""),"",ROUND((H28-G28)*1440-N(I28),0))</f>
        <v/>
      </c>
      <c r="K28" s="23" t="str">
        <f aca="false">IF(J28="","",ROUND(J28/60,2))</f>
        <v/>
      </c>
      <c r="L28" s="24"/>
      <c r="M28" s="25" t="str">
        <f aca="false">IF(OR(K28="",L28=""),"",ROUND(K28-L28,2))</f>
        <v/>
      </c>
      <c r="N28" s="19"/>
    </row>
    <row r="29" customFormat="false" ht="19.5" hidden="false" customHeight="true" outlineLevel="0" collapsed="false">
      <c r="A29" s="17" t="n">
        <v>23</v>
      </c>
      <c r="B29" s="18"/>
      <c r="C29" s="19"/>
      <c r="D29" s="19"/>
      <c r="E29" s="7"/>
      <c r="F29" s="19"/>
      <c r="G29" s="20"/>
      <c r="H29" s="20"/>
      <c r="I29" s="21"/>
      <c r="J29" s="22" t="str">
        <f aca="false">IF(OR(G29="",H29=""),"",ROUND((H29-G29)*1440-N(I29),0))</f>
        <v/>
      </c>
      <c r="K29" s="23" t="str">
        <f aca="false">IF(J29="","",ROUND(J29/60,2))</f>
        <v/>
      </c>
      <c r="L29" s="24"/>
      <c r="M29" s="25" t="str">
        <f aca="false">IF(OR(K29="",L29=""),"",ROUND(K29-L29,2))</f>
        <v/>
      </c>
      <c r="N29" s="19"/>
    </row>
    <row r="30" customFormat="false" ht="19.5" hidden="false" customHeight="true" outlineLevel="0" collapsed="false">
      <c r="A30" s="17" t="n">
        <v>24</v>
      </c>
      <c r="B30" s="18"/>
      <c r="C30" s="19"/>
      <c r="D30" s="19"/>
      <c r="E30" s="7"/>
      <c r="F30" s="19"/>
      <c r="G30" s="20"/>
      <c r="H30" s="20"/>
      <c r="I30" s="21"/>
      <c r="J30" s="22" t="str">
        <f aca="false">IF(OR(G30="",H30=""),"",ROUND((H30-G30)*1440-N(I30),0))</f>
        <v/>
      </c>
      <c r="K30" s="23" t="str">
        <f aca="false">IF(J30="","",ROUND(J30/60,2))</f>
        <v/>
      </c>
      <c r="L30" s="24"/>
      <c r="M30" s="25" t="str">
        <f aca="false">IF(OR(K30="",L30=""),"",ROUND(K30-L30,2))</f>
        <v/>
      </c>
      <c r="N30" s="19"/>
    </row>
    <row r="31" customFormat="false" ht="19.5" hidden="false" customHeight="true" outlineLevel="0" collapsed="false">
      <c r="A31" s="17" t="n">
        <v>25</v>
      </c>
      <c r="B31" s="18"/>
      <c r="C31" s="19"/>
      <c r="D31" s="19"/>
      <c r="E31" s="7"/>
      <c r="F31" s="19"/>
      <c r="G31" s="20"/>
      <c r="H31" s="20"/>
      <c r="I31" s="21"/>
      <c r="J31" s="22" t="str">
        <f aca="false">IF(OR(G31="",H31=""),"",ROUND((H31-G31)*1440-N(I31),0))</f>
        <v/>
      </c>
      <c r="K31" s="23" t="str">
        <f aca="false">IF(J31="","",ROUND(J31/60,2))</f>
        <v/>
      </c>
      <c r="L31" s="24"/>
      <c r="M31" s="25" t="str">
        <f aca="false">IF(OR(K31="",L31=""),"",ROUND(K31-L31,2))</f>
        <v/>
      </c>
      <c r="N31" s="19"/>
    </row>
    <row r="32" customFormat="false" ht="19.5" hidden="false" customHeight="true" outlineLevel="0" collapsed="false">
      <c r="A32" s="17" t="n">
        <v>26</v>
      </c>
      <c r="B32" s="18"/>
      <c r="C32" s="19"/>
      <c r="D32" s="19"/>
      <c r="E32" s="7"/>
      <c r="F32" s="19"/>
      <c r="G32" s="20"/>
      <c r="H32" s="20"/>
      <c r="I32" s="21"/>
      <c r="J32" s="22" t="str">
        <f aca="false">IF(OR(G32="",H32=""),"",ROUND((H32-G32)*1440-N(I32),0))</f>
        <v/>
      </c>
      <c r="K32" s="23" t="str">
        <f aca="false">IF(J32="","",ROUND(J32/60,2))</f>
        <v/>
      </c>
      <c r="L32" s="24"/>
      <c r="M32" s="25" t="str">
        <f aca="false">IF(OR(K32="",L32=""),"",ROUND(K32-L32,2))</f>
        <v/>
      </c>
      <c r="N32" s="19"/>
    </row>
    <row r="33" customFormat="false" ht="19.5" hidden="false" customHeight="true" outlineLevel="0" collapsed="false">
      <c r="A33" s="17" t="n">
        <v>27</v>
      </c>
      <c r="B33" s="18"/>
      <c r="C33" s="19"/>
      <c r="D33" s="19"/>
      <c r="E33" s="7"/>
      <c r="F33" s="19"/>
      <c r="G33" s="20"/>
      <c r="H33" s="20"/>
      <c r="I33" s="21"/>
      <c r="J33" s="22" t="str">
        <f aca="false">IF(OR(G33="",H33=""),"",ROUND((H33-G33)*1440-N(I33),0))</f>
        <v/>
      </c>
      <c r="K33" s="23" t="str">
        <f aca="false">IF(J33="","",ROUND(J33/60,2))</f>
        <v/>
      </c>
      <c r="L33" s="24"/>
      <c r="M33" s="25" t="str">
        <f aca="false">IF(OR(K33="",L33=""),"",ROUND(K33-L33,2))</f>
        <v/>
      </c>
      <c r="N33" s="19"/>
    </row>
    <row r="34" customFormat="false" ht="19.5" hidden="false" customHeight="true" outlineLevel="0" collapsed="false">
      <c r="A34" s="17" t="n">
        <v>28</v>
      </c>
      <c r="B34" s="18"/>
      <c r="C34" s="19"/>
      <c r="D34" s="19"/>
      <c r="E34" s="7"/>
      <c r="F34" s="19"/>
      <c r="G34" s="20"/>
      <c r="H34" s="20"/>
      <c r="I34" s="21"/>
      <c r="J34" s="22" t="str">
        <f aca="false">IF(OR(G34="",H34=""),"",ROUND((H34-G34)*1440-N(I34),0))</f>
        <v/>
      </c>
      <c r="K34" s="23" t="str">
        <f aca="false">IF(J34="","",ROUND(J34/60,2))</f>
        <v/>
      </c>
      <c r="L34" s="24"/>
      <c r="M34" s="25" t="str">
        <f aca="false">IF(OR(K34="",L34=""),"",ROUND(K34-L34,2))</f>
        <v/>
      </c>
      <c r="N34" s="19"/>
    </row>
    <row r="35" customFormat="false" ht="19.5" hidden="false" customHeight="true" outlineLevel="0" collapsed="false">
      <c r="A35" s="17" t="n">
        <v>29</v>
      </c>
      <c r="B35" s="18"/>
      <c r="C35" s="19"/>
      <c r="D35" s="19"/>
      <c r="E35" s="7"/>
      <c r="F35" s="19"/>
      <c r="G35" s="20"/>
      <c r="H35" s="20"/>
      <c r="I35" s="21"/>
      <c r="J35" s="22" t="str">
        <f aca="false">IF(OR(G35="",H35=""),"",ROUND((H35-G35)*1440-N(I35),0))</f>
        <v/>
      </c>
      <c r="K35" s="23" t="str">
        <f aca="false">IF(J35="","",ROUND(J35/60,2))</f>
        <v/>
      </c>
      <c r="L35" s="24"/>
      <c r="M35" s="25" t="str">
        <f aca="false">IF(OR(K35="",L35=""),"",ROUND(K35-L35,2))</f>
        <v/>
      </c>
      <c r="N35" s="19"/>
    </row>
    <row r="36" customFormat="false" ht="19.5" hidden="false" customHeight="true" outlineLevel="0" collapsed="false">
      <c r="A36" s="17" t="n">
        <v>30</v>
      </c>
      <c r="B36" s="18"/>
      <c r="C36" s="19"/>
      <c r="D36" s="19"/>
      <c r="E36" s="7"/>
      <c r="F36" s="19"/>
      <c r="G36" s="20"/>
      <c r="H36" s="20"/>
      <c r="I36" s="21"/>
      <c r="J36" s="22" t="str">
        <f aca="false">IF(OR(G36="",H36=""),"",ROUND((H36-G36)*1440-N(I36),0))</f>
        <v/>
      </c>
      <c r="K36" s="23" t="str">
        <f aca="false">IF(J36="","",ROUND(J36/60,2))</f>
        <v/>
      </c>
      <c r="L36" s="24"/>
      <c r="M36" s="25" t="str">
        <f aca="false">IF(OR(K36="",L36=""),"",ROUND(K36-L36,2))</f>
        <v/>
      </c>
      <c r="N36" s="19"/>
    </row>
    <row r="37" customFormat="false" ht="19.5" hidden="false" customHeight="true" outlineLevel="0" collapsed="false">
      <c r="A37" s="17" t="n">
        <v>31</v>
      </c>
      <c r="B37" s="18"/>
      <c r="C37" s="19"/>
      <c r="D37" s="19"/>
      <c r="E37" s="7"/>
      <c r="F37" s="19"/>
      <c r="G37" s="20"/>
      <c r="H37" s="20"/>
      <c r="I37" s="21"/>
      <c r="J37" s="22" t="str">
        <f aca="false">IF(OR(G37="",H37=""),"",ROUND((H37-G37)*1440-N(I37),0))</f>
        <v/>
      </c>
      <c r="K37" s="23" t="str">
        <f aca="false">IF(J37="","",ROUND(J37/60,2))</f>
        <v/>
      </c>
      <c r="L37" s="24"/>
      <c r="M37" s="25" t="str">
        <f aca="false">IF(OR(K37="",L37=""),"",ROUND(K37-L37,2))</f>
        <v/>
      </c>
      <c r="N37" s="19"/>
    </row>
    <row r="38" customFormat="false" ht="19.5" hidden="false" customHeight="true" outlineLevel="0" collapsed="false">
      <c r="A38" s="17" t="n">
        <v>32</v>
      </c>
      <c r="B38" s="18"/>
      <c r="C38" s="19"/>
      <c r="D38" s="19"/>
      <c r="E38" s="7"/>
      <c r="F38" s="19"/>
      <c r="G38" s="20"/>
      <c r="H38" s="20"/>
      <c r="I38" s="21"/>
      <c r="J38" s="22" t="str">
        <f aca="false">IF(OR(G38="",H38=""),"",ROUND((H38-G38)*1440-N(I38),0))</f>
        <v/>
      </c>
      <c r="K38" s="23" t="str">
        <f aca="false">IF(J38="","",ROUND(J38/60,2))</f>
        <v/>
      </c>
      <c r="L38" s="24"/>
      <c r="M38" s="25" t="str">
        <f aca="false">IF(OR(K38="",L38=""),"",ROUND(K38-L38,2))</f>
        <v/>
      </c>
      <c r="N38" s="19"/>
    </row>
    <row r="39" customFormat="false" ht="19.5" hidden="false" customHeight="true" outlineLevel="0" collapsed="false">
      <c r="A39" s="17" t="n">
        <v>33</v>
      </c>
      <c r="B39" s="18"/>
      <c r="C39" s="19"/>
      <c r="D39" s="19"/>
      <c r="E39" s="7"/>
      <c r="F39" s="19"/>
      <c r="G39" s="20"/>
      <c r="H39" s="20"/>
      <c r="I39" s="21"/>
      <c r="J39" s="22" t="str">
        <f aca="false">IF(OR(G39="",H39=""),"",ROUND((H39-G39)*1440-N(I39),0))</f>
        <v/>
      </c>
      <c r="K39" s="23" t="str">
        <f aca="false">IF(J39="","",ROUND(J39/60,2))</f>
        <v/>
      </c>
      <c r="L39" s="24"/>
      <c r="M39" s="25" t="str">
        <f aca="false">IF(OR(K39="",L39=""),"",ROUND(K39-L39,2))</f>
        <v/>
      </c>
      <c r="N39" s="19"/>
    </row>
    <row r="40" customFormat="false" ht="19.5" hidden="false" customHeight="true" outlineLevel="0" collapsed="false">
      <c r="A40" s="17" t="n">
        <v>34</v>
      </c>
      <c r="B40" s="18"/>
      <c r="C40" s="19"/>
      <c r="D40" s="19"/>
      <c r="E40" s="7"/>
      <c r="F40" s="19"/>
      <c r="G40" s="20"/>
      <c r="H40" s="20"/>
      <c r="I40" s="21"/>
      <c r="J40" s="22" t="str">
        <f aca="false">IF(OR(G40="",H40=""),"",ROUND((H40-G40)*1440-N(I40),0))</f>
        <v/>
      </c>
      <c r="K40" s="23" t="str">
        <f aca="false">IF(J40="","",ROUND(J40/60,2))</f>
        <v/>
      </c>
      <c r="L40" s="24"/>
      <c r="M40" s="25" t="str">
        <f aca="false">IF(OR(K40="",L40=""),"",ROUND(K40-L40,2))</f>
        <v/>
      </c>
      <c r="N40" s="19"/>
    </row>
    <row r="41" customFormat="false" ht="19.5" hidden="false" customHeight="true" outlineLevel="0" collapsed="false">
      <c r="A41" s="17" t="n">
        <v>35</v>
      </c>
      <c r="B41" s="18"/>
      <c r="C41" s="19"/>
      <c r="D41" s="19"/>
      <c r="E41" s="7"/>
      <c r="F41" s="19"/>
      <c r="G41" s="20"/>
      <c r="H41" s="20"/>
      <c r="I41" s="21"/>
      <c r="J41" s="22" t="str">
        <f aca="false">IF(OR(G41="",H41=""),"",ROUND((H41-G41)*1440-N(I41),0))</f>
        <v/>
      </c>
      <c r="K41" s="23" t="str">
        <f aca="false">IF(J41="","",ROUND(J41/60,2))</f>
        <v/>
      </c>
      <c r="L41" s="24"/>
      <c r="M41" s="25" t="str">
        <f aca="false">IF(OR(K41="",L41=""),"",ROUND(K41-L41,2))</f>
        <v/>
      </c>
      <c r="N41" s="19"/>
    </row>
    <row r="42" customFormat="false" ht="19.5" hidden="false" customHeight="true" outlineLevel="0" collapsed="false">
      <c r="A42" s="17" t="n">
        <v>36</v>
      </c>
      <c r="B42" s="18"/>
      <c r="C42" s="19"/>
      <c r="D42" s="19"/>
      <c r="E42" s="7"/>
      <c r="F42" s="19"/>
      <c r="G42" s="20"/>
      <c r="H42" s="20"/>
      <c r="I42" s="21"/>
      <c r="J42" s="22" t="str">
        <f aca="false">IF(OR(G42="",H42=""),"",ROUND((H42-G42)*1440-N(I42),0))</f>
        <v/>
      </c>
      <c r="K42" s="23" t="str">
        <f aca="false">IF(J42="","",ROUND(J42/60,2))</f>
        <v/>
      </c>
      <c r="L42" s="24"/>
      <c r="M42" s="25" t="str">
        <f aca="false">IF(OR(K42="",L42=""),"",ROUND(K42-L42,2))</f>
        <v/>
      </c>
      <c r="N42" s="19"/>
    </row>
    <row r="43" customFormat="false" ht="19.5" hidden="false" customHeight="true" outlineLevel="0" collapsed="false">
      <c r="A43" s="17" t="n">
        <v>37</v>
      </c>
      <c r="B43" s="18"/>
      <c r="C43" s="19"/>
      <c r="D43" s="19"/>
      <c r="E43" s="7"/>
      <c r="F43" s="19"/>
      <c r="G43" s="20"/>
      <c r="H43" s="20"/>
      <c r="I43" s="21"/>
      <c r="J43" s="22" t="str">
        <f aca="false">IF(OR(G43="",H43=""),"",ROUND((H43-G43)*1440-N(I43),0))</f>
        <v/>
      </c>
      <c r="K43" s="23" t="str">
        <f aca="false">IF(J43="","",ROUND(J43/60,2))</f>
        <v/>
      </c>
      <c r="L43" s="24"/>
      <c r="M43" s="25" t="str">
        <f aca="false">IF(OR(K43="",L43=""),"",ROUND(K43-L43,2))</f>
        <v/>
      </c>
      <c r="N43" s="19"/>
    </row>
    <row r="44" customFormat="false" ht="19.5" hidden="false" customHeight="true" outlineLevel="0" collapsed="false">
      <c r="A44" s="17" t="n">
        <v>38</v>
      </c>
      <c r="B44" s="18"/>
      <c r="C44" s="19"/>
      <c r="D44" s="19"/>
      <c r="E44" s="7"/>
      <c r="F44" s="19"/>
      <c r="G44" s="20"/>
      <c r="H44" s="20"/>
      <c r="I44" s="21"/>
      <c r="J44" s="22" t="str">
        <f aca="false">IF(OR(G44="",H44=""),"",ROUND((H44-G44)*1440-N(I44),0))</f>
        <v/>
      </c>
      <c r="K44" s="23" t="str">
        <f aca="false">IF(J44="","",ROUND(J44/60,2))</f>
        <v/>
      </c>
      <c r="L44" s="24"/>
      <c r="M44" s="25" t="str">
        <f aca="false">IF(OR(K44="",L44=""),"",ROUND(K44-L44,2))</f>
        <v/>
      </c>
      <c r="N44" s="19"/>
    </row>
    <row r="45" customFormat="false" ht="19.5" hidden="false" customHeight="true" outlineLevel="0" collapsed="false">
      <c r="A45" s="17" t="n">
        <v>39</v>
      </c>
      <c r="B45" s="18"/>
      <c r="C45" s="19"/>
      <c r="D45" s="19"/>
      <c r="E45" s="7"/>
      <c r="F45" s="19"/>
      <c r="G45" s="20"/>
      <c r="H45" s="20"/>
      <c r="I45" s="21"/>
      <c r="J45" s="22" t="str">
        <f aca="false">IF(OR(G45="",H45=""),"",ROUND((H45-G45)*1440-N(I45),0))</f>
        <v/>
      </c>
      <c r="K45" s="23" t="str">
        <f aca="false">IF(J45="","",ROUND(J45/60,2))</f>
        <v/>
      </c>
      <c r="L45" s="24"/>
      <c r="M45" s="25" t="str">
        <f aca="false">IF(OR(K45="",L45=""),"",ROUND(K45-L45,2))</f>
        <v/>
      </c>
      <c r="N45" s="19"/>
    </row>
    <row r="46" customFormat="false" ht="19.5" hidden="false" customHeight="true" outlineLevel="0" collapsed="false">
      <c r="A46" s="17" t="n">
        <v>40</v>
      </c>
      <c r="B46" s="18"/>
      <c r="C46" s="19"/>
      <c r="D46" s="19"/>
      <c r="E46" s="7"/>
      <c r="F46" s="19"/>
      <c r="G46" s="20"/>
      <c r="H46" s="20"/>
      <c r="I46" s="21"/>
      <c r="J46" s="22" t="str">
        <f aca="false">IF(OR(G46="",H46=""),"",ROUND((H46-G46)*1440-N(I46),0))</f>
        <v/>
      </c>
      <c r="K46" s="23" t="str">
        <f aca="false">IF(J46="","",ROUND(J46/60,2))</f>
        <v/>
      </c>
      <c r="L46" s="24"/>
      <c r="M46" s="25" t="str">
        <f aca="false">IF(OR(K46="",L46=""),"",ROUND(K46-L46,2))</f>
        <v/>
      </c>
      <c r="N46" s="19"/>
    </row>
    <row r="47" customFormat="false" ht="19.5" hidden="false" customHeight="true" outlineLevel="0" collapsed="false">
      <c r="A47" s="17" t="n">
        <v>41</v>
      </c>
      <c r="B47" s="18"/>
      <c r="C47" s="19"/>
      <c r="D47" s="19"/>
      <c r="E47" s="7"/>
      <c r="F47" s="19"/>
      <c r="G47" s="20"/>
      <c r="H47" s="20"/>
      <c r="I47" s="21"/>
      <c r="J47" s="22" t="str">
        <f aca="false">IF(OR(G47="",H47=""),"",ROUND((H47-G47)*1440-N(I47),0))</f>
        <v/>
      </c>
      <c r="K47" s="23" t="str">
        <f aca="false">IF(J47="","",ROUND(J47/60,2))</f>
        <v/>
      </c>
      <c r="L47" s="24"/>
      <c r="M47" s="25" t="str">
        <f aca="false">IF(OR(K47="",L47=""),"",ROUND(K47-L47,2))</f>
        <v/>
      </c>
      <c r="N47" s="19"/>
    </row>
    <row r="48" customFormat="false" ht="19.5" hidden="false" customHeight="true" outlineLevel="0" collapsed="false">
      <c r="A48" s="17" t="n">
        <v>42</v>
      </c>
      <c r="B48" s="18"/>
      <c r="C48" s="19"/>
      <c r="D48" s="19"/>
      <c r="E48" s="7"/>
      <c r="F48" s="19"/>
      <c r="G48" s="20"/>
      <c r="H48" s="20"/>
      <c r="I48" s="21"/>
      <c r="J48" s="22" t="str">
        <f aca="false">IF(OR(G48="",H48=""),"",ROUND((H48-G48)*1440-N(I48),0))</f>
        <v/>
      </c>
      <c r="K48" s="23" t="str">
        <f aca="false">IF(J48="","",ROUND(J48/60,2))</f>
        <v/>
      </c>
      <c r="L48" s="24"/>
      <c r="M48" s="25" t="str">
        <f aca="false">IF(OR(K48="",L48=""),"",ROUND(K48-L48,2))</f>
        <v/>
      </c>
      <c r="N48" s="19"/>
    </row>
    <row r="49" customFormat="false" ht="19.5" hidden="false" customHeight="true" outlineLevel="0" collapsed="false">
      <c r="A49" s="17" t="n">
        <v>43</v>
      </c>
      <c r="B49" s="18"/>
      <c r="C49" s="19"/>
      <c r="D49" s="19"/>
      <c r="E49" s="7"/>
      <c r="F49" s="19"/>
      <c r="G49" s="20"/>
      <c r="H49" s="20"/>
      <c r="I49" s="21"/>
      <c r="J49" s="22" t="str">
        <f aca="false">IF(OR(G49="",H49=""),"",ROUND((H49-G49)*1440-N(I49),0))</f>
        <v/>
      </c>
      <c r="K49" s="23" t="str">
        <f aca="false">IF(J49="","",ROUND(J49/60,2))</f>
        <v/>
      </c>
      <c r="L49" s="24"/>
      <c r="M49" s="25" t="str">
        <f aca="false">IF(OR(K49="",L49=""),"",ROUND(K49-L49,2))</f>
        <v/>
      </c>
      <c r="N49" s="19"/>
    </row>
    <row r="50" customFormat="false" ht="19.5" hidden="false" customHeight="true" outlineLevel="0" collapsed="false">
      <c r="A50" s="17" t="n">
        <v>44</v>
      </c>
      <c r="B50" s="18"/>
      <c r="C50" s="19"/>
      <c r="D50" s="19"/>
      <c r="E50" s="7"/>
      <c r="F50" s="19"/>
      <c r="G50" s="20"/>
      <c r="H50" s="20"/>
      <c r="I50" s="21"/>
      <c r="J50" s="22" t="str">
        <f aca="false">IF(OR(G50="",H50=""),"",ROUND((H50-G50)*1440-N(I50),0))</f>
        <v/>
      </c>
      <c r="K50" s="23" t="str">
        <f aca="false">IF(J50="","",ROUND(J50/60,2))</f>
        <v/>
      </c>
      <c r="L50" s="24"/>
      <c r="M50" s="25" t="str">
        <f aca="false">IF(OR(K50="",L50=""),"",ROUND(K50-L50,2))</f>
        <v/>
      </c>
      <c r="N50" s="19"/>
    </row>
    <row r="51" customFormat="false" ht="19.5" hidden="false" customHeight="true" outlineLevel="0" collapsed="false">
      <c r="A51" s="17" t="n">
        <v>45</v>
      </c>
      <c r="B51" s="18"/>
      <c r="C51" s="19"/>
      <c r="D51" s="19"/>
      <c r="E51" s="7"/>
      <c r="F51" s="19"/>
      <c r="G51" s="20"/>
      <c r="H51" s="20"/>
      <c r="I51" s="21"/>
      <c r="J51" s="22" t="str">
        <f aca="false">IF(OR(G51="",H51=""),"",ROUND((H51-G51)*1440-N(I51),0))</f>
        <v/>
      </c>
      <c r="K51" s="23" t="str">
        <f aca="false">IF(J51="","",ROUND(J51/60,2))</f>
        <v/>
      </c>
      <c r="L51" s="24"/>
      <c r="M51" s="25" t="str">
        <f aca="false">IF(OR(K51="",L51=""),"",ROUND(K51-L51,2))</f>
        <v/>
      </c>
      <c r="N51" s="19"/>
    </row>
    <row r="52" customFormat="false" ht="19.5" hidden="false" customHeight="true" outlineLevel="0" collapsed="false">
      <c r="A52" s="17" t="n">
        <v>46</v>
      </c>
      <c r="B52" s="18"/>
      <c r="C52" s="19"/>
      <c r="D52" s="19"/>
      <c r="E52" s="7"/>
      <c r="F52" s="19"/>
      <c r="G52" s="20"/>
      <c r="H52" s="20"/>
      <c r="I52" s="21"/>
      <c r="J52" s="22" t="str">
        <f aca="false">IF(OR(G52="",H52=""),"",ROUND((H52-G52)*1440-N(I52),0))</f>
        <v/>
      </c>
      <c r="K52" s="23" t="str">
        <f aca="false">IF(J52="","",ROUND(J52/60,2))</f>
        <v/>
      </c>
      <c r="L52" s="24"/>
      <c r="M52" s="25" t="str">
        <f aca="false">IF(OR(K52="",L52=""),"",ROUND(K52-L52,2))</f>
        <v/>
      </c>
      <c r="N52" s="19"/>
    </row>
    <row r="53" customFormat="false" ht="19.5" hidden="false" customHeight="true" outlineLevel="0" collapsed="false">
      <c r="A53" s="17" t="n">
        <v>47</v>
      </c>
      <c r="B53" s="18"/>
      <c r="C53" s="19"/>
      <c r="D53" s="19"/>
      <c r="E53" s="7"/>
      <c r="F53" s="19"/>
      <c r="G53" s="20"/>
      <c r="H53" s="20"/>
      <c r="I53" s="21"/>
      <c r="J53" s="22" t="str">
        <f aca="false">IF(OR(G53="",H53=""),"",ROUND((H53-G53)*1440-N(I53),0))</f>
        <v/>
      </c>
      <c r="K53" s="23" t="str">
        <f aca="false">IF(J53="","",ROUND(J53/60,2))</f>
        <v/>
      </c>
      <c r="L53" s="24"/>
      <c r="M53" s="25" t="str">
        <f aca="false">IF(OR(K53="",L53=""),"",ROUND(K53-L53,2))</f>
        <v/>
      </c>
      <c r="N53" s="19"/>
    </row>
    <row r="54" customFormat="false" ht="19.5" hidden="false" customHeight="true" outlineLevel="0" collapsed="false">
      <c r="A54" s="17" t="n">
        <v>48</v>
      </c>
      <c r="B54" s="18"/>
      <c r="C54" s="19"/>
      <c r="D54" s="19"/>
      <c r="E54" s="7"/>
      <c r="F54" s="19"/>
      <c r="G54" s="20"/>
      <c r="H54" s="20"/>
      <c r="I54" s="21"/>
      <c r="J54" s="22" t="str">
        <f aca="false">IF(OR(G54="",H54=""),"",ROUND((H54-G54)*1440-N(I54),0))</f>
        <v/>
      </c>
      <c r="K54" s="23" t="str">
        <f aca="false">IF(J54="","",ROUND(J54/60,2))</f>
        <v/>
      </c>
      <c r="L54" s="24"/>
      <c r="M54" s="25" t="str">
        <f aca="false">IF(OR(K54="",L54=""),"",ROUND(K54-L54,2))</f>
        <v/>
      </c>
      <c r="N54" s="19"/>
    </row>
    <row r="55" customFormat="false" ht="19.5" hidden="false" customHeight="true" outlineLevel="0" collapsed="false">
      <c r="A55" s="17" t="n">
        <v>49</v>
      </c>
      <c r="B55" s="18"/>
      <c r="C55" s="19"/>
      <c r="D55" s="19"/>
      <c r="E55" s="7"/>
      <c r="F55" s="19"/>
      <c r="G55" s="20"/>
      <c r="H55" s="20"/>
      <c r="I55" s="21"/>
      <c r="J55" s="22" t="str">
        <f aca="false">IF(OR(G55="",H55=""),"",ROUND((H55-G55)*1440-N(I55),0))</f>
        <v/>
      </c>
      <c r="K55" s="23" t="str">
        <f aca="false">IF(J55="","",ROUND(J55/60,2))</f>
        <v/>
      </c>
      <c r="L55" s="24"/>
      <c r="M55" s="25" t="str">
        <f aca="false">IF(OR(K55="",L55=""),"",ROUND(K55-L55,2))</f>
        <v/>
      </c>
      <c r="N55" s="19"/>
    </row>
    <row r="56" customFormat="false" ht="19.5" hidden="false" customHeight="true" outlineLevel="0" collapsed="false">
      <c r="A56" s="17" t="n">
        <v>50</v>
      </c>
      <c r="B56" s="18"/>
      <c r="C56" s="19"/>
      <c r="D56" s="19"/>
      <c r="E56" s="7"/>
      <c r="F56" s="19"/>
      <c r="G56" s="20"/>
      <c r="H56" s="20"/>
      <c r="I56" s="21"/>
      <c r="J56" s="22" t="str">
        <f aca="false">IF(OR(G56="",H56=""),"",ROUND((H56-G56)*1440-N(I56),0))</f>
        <v/>
      </c>
      <c r="K56" s="23" t="str">
        <f aca="false">IF(J56="","",ROUND(J56/60,2))</f>
        <v/>
      </c>
      <c r="L56" s="24"/>
      <c r="M56" s="25" t="str">
        <f aca="false">IF(OR(K56="",L56=""),"",ROUND(K56-L56,2))</f>
        <v/>
      </c>
      <c r="N56" s="19"/>
    </row>
    <row r="57" customFormat="false" ht="19.5" hidden="false" customHeight="true" outlineLevel="0" collapsed="false">
      <c r="A57" s="17" t="n">
        <v>51</v>
      </c>
      <c r="B57" s="18"/>
      <c r="C57" s="19"/>
      <c r="D57" s="19"/>
      <c r="E57" s="7"/>
      <c r="F57" s="19"/>
      <c r="G57" s="20"/>
      <c r="H57" s="20"/>
      <c r="I57" s="21"/>
      <c r="J57" s="22" t="str">
        <f aca="false">IF(OR(G57="",H57=""),"",ROUND((H57-G57)*1440-N(I57),0))</f>
        <v/>
      </c>
      <c r="K57" s="23" t="str">
        <f aca="false">IF(J57="","",ROUND(J57/60,2))</f>
        <v/>
      </c>
      <c r="L57" s="24"/>
      <c r="M57" s="25" t="str">
        <f aca="false">IF(OR(K57="",L57=""),"",ROUND(K57-L57,2))</f>
        <v/>
      </c>
      <c r="N57" s="19"/>
    </row>
    <row r="58" customFormat="false" ht="19.5" hidden="false" customHeight="true" outlineLevel="0" collapsed="false">
      <c r="A58" s="17" t="n">
        <v>52</v>
      </c>
      <c r="B58" s="18"/>
      <c r="C58" s="19"/>
      <c r="D58" s="19"/>
      <c r="E58" s="7"/>
      <c r="F58" s="19"/>
      <c r="G58" s="20"/>
      <c r="H58" s="20"/>
      <c r="I58" s="21"/>
      <c r="J58" s="22" t="str">
        <f aca="false">IF(OR(G58="",H58=""),"",ROUND((H58-G58)*1440-N(I58),0))</f>
        <v/>
      </c>
      <c r="K58" s="23" t="str">
        <f aca="false">IF(J58="","",ROUND(J58/60,2))</f>
        <v/>
      </c>
      <c r="L58" s="24"/>
      <c r="M58" s="25" t="str">
        <f aca="false">IF(OR(K58="",L58=""),"",ROUND(K58-L58,2))</f>
        <v/>
      </c>
      <c r="N58" s="19"/>
    </row>
    <row r="59" customFormat="false" ht="19.5" hidden="false" customHeight="true" outlineLevel="0" collapsed="false">
      <c r="A59" s="17" t="n">
        <v>53</v>
      </c>
      <c r="B59" s="18"/>
      <c r="C59" s="19"/>
      <c r="D59" s="19"/>
      <c r="E59" s="7"/>
      <c r="F59" s="19"/>
      <c r="G59" s="20"/>
      <c r="H59" s="20"/>
      <c r="I59" s="21"/>
      <c r="J59" s="22" t="str">
        <f aca="false">IF(OR(G59="",H59=""),"",ROUND((H59-G59)*1440-N(I59),0))</f>
        <v/>
      </c>
      <c r="K59" s="23" t="str">
        <f aca="false">IF(J59="","",ROUND(J59/60,2))</f>
        <v/>
      </c>
      <c r="L59" s="24"/>
      <c r="M59" s="25" t="str">
        <f aca="false">IF(OR(K59="",L59=""),"",ROUND(K59-L59,2))</f>
        <v/>
      </c>
      <c r="N59" s="19"/>
    </row>
    <row r="60" customFormat="false" ht="19.5" hidden="false" customHeight="true" outlineLevel="0" collapsed="false">
      <c r="A60" s="17" t="n">
        <v>54</v>
      </c>
      <c r="B60" s="18"/>
      <c r="C60" s="19"/>
      <c r="D60" s="19"/>
      <c r="E60" s="7"/>
      <c r="F60" s="19"/>
      <c r="G60" s="20"/>
      <c r="H60" s="20"/>
      <c r="I60" s="21"/>
      <c r="J60" s="22" t="str">
        <f aca="false">IF(OR(G60="",H60=""),"",ROUND((H60-G60)*1440-N(I60),0))</f>
        <v/>
      </c>
      <c r="K60" s="23" t="str">
        <f aca="false">IF(J60="","",ROUND(J60/60,2))</f>
        <v/>
      </c>
      <c r="L60" s="24"/>
      <c r="M60" s="25" t="str">
        <f aca="false">IF(OR(K60="",L60=""),"",ROUND(K60-L60,2))</f>
        <v/>
      </c>
      <c r="N60" s="19"/>
    </row>
    <row r="61" customFormat="false" ht="19.5" hidden="false" customHeight="true" outlineLevel="0" collapsed="false">
      <c r="A61" s="17" t="n">
        <v>55</v>
      </c>
      <c r="B61" s="18"/>
      <c r="C61" s="19"/>
      <c r="D61" s="19"/>
      <c r="E61" s="7"/>
      <c r="F61" s="19"/>
      <c r="G61" s="20"/>
      <c r="H61" s="20"/>
      <c r="I61" s="21"/>
      <c r="J61" s="22" t="str">
        <f aca="false">IF(OR(G61="",H61=""),"",ROUND((H61-G61)*1440-N(I61),0))</f>
        <v/>
      </c>
      <c r="K61" s="23" t="str">
        <f aca="false">IF(J61="","",ROUND(J61/60,2))</f>
        <v/>
      </c>
      <c r="L61" s="24"/>
      <c r="M61" s="25" t="str">
        <f aca="false">IF(OR(K61="",L61=""),"",ROUND(K61-L61,2))</f>
        <v/>
      </c>
      <c r="N61" s="19"/>
    </row>
    <row r="62" customFormat="false" ht="19.5" hidden="false" customHeight="true" outlineLevel="0" collapsed="false">
      <c r="A62" s="17" t="n">
        <v>56</v>
      </c>
      <c r="B62" s="18"/>
      <c r="C62" s="19"/>
      <c r="D62" s="19"/>
      <c r="E62" s="7"/>
      <c r="F62" s="19"/>
      <c r="G62" s="20"/>
      <c r="H62" s="20"/>
      <c r="I62" s="21"/>
      <c r="J62" s="22" t="str">
        <f aca="false">IF(OR(G62="",H62=""),"",ROUND((H62-G62)*1440-N(I62),0))</f>
        <v/>
      </c>
      <c r="K62" s="23" t="str">
        <f aca="false">IF(J62="","",ROUND(J62/60,2))</f>
        <v/>
      </c>
      <c r="L62" s="24"/>
      <c r="M62" s="25" t="str">
        <f aca="false">IF(OR(K62="",L62=""),"",ROUND(K62-L62,2))</f>
        <v/>
      </c>
      <c r="N62" s="19"/>
    </row>
    <row r="63" customFormat="false" ht="19.5" hidden="false" customHeight="true" outlineLevel="0" collapsed="false">
      <c r="A63" s="17" t="n">
        <v>57</v>
      </c>
      <c r="B63" s="18"/>
      <c r="C63" s="19"/>
      <c r="D63" s="19"/>
      <c r="E63" s="7"/>
      <c r="F63" s="19"/>
      <c r="G63" s="20"/>
      <c r="H63" s="20"/>
      <c r="I63" s="21"/>
      <c r="J63" s="22" t="str">
        <f aca="false">IF(OR(G63="",H63=""),"",ROUND((H63-G63)*1440-N(I63),0))</f>
        <v/>
      </c>
      <c r="K63" s="23" t="str">
        <f aca="false">IF(J63="","",ROUND(J63/60,2))</f>
        <v/>
      </c>
      <c r="L63" s="24"/>
      <c r="M63" s="25" t="str">
        <f aca="false">IF(OR(K63="",L63=""),"",ROUND(K63-L63,2))</f>
        <v/>
      </c>
      <c r="N63" s="19"/>
    </row>
    <row r="64" customFormat="false" ht="19.5" hidden="false" customHeight="true" outlineLevel="0" collapsed="false">
      <c r="A64" s="17" t="n">
        <v>58</v>
      </c>
      <c r="B64" s="18"/>
      <c r="C64" s="19"/>
      <c r="D64" s="19"/>
      <c r="E64" s="7"/>
      <c r="F64" s="19"/>
      <c r="G64" s="20"/>
      <c r="H64" s="20"/>
      <c r="I64" s="21"/>
      <c r="J64" s="22" t="str">
        <f aca="false">IF(OR(G64="",H64=""),"",ROUND((H64-G64)*1440-N(I64),0))</f>
        <v/>
      </c>
      <c r="K64" s="23" t="str">
        <f aca="false">IF(J64="","",ROUND(J64/60,2))</f>
        <v/>
      </c>
      <c r="L64" s="24"/>
      <c r="M64" s="25" t="str">
        <f aca="false">IF(OR(K64="",L64=""),"",ROUND(K64-L64,2))</f>
        <v/>
      </c>
      <c r="N64" s="19"/>
    </row>
    <row r="65" customFormat="false" ht="19.5" hidden="false" customHeight="true" outlineLevel="0" collapsed="false">
      <c r="A65" s="17" t="n">
        <v>59</v>
      </c>
      <c r="B65" s="18"/>
      <c r="C65" s="19"/>
      <c r="D65" s="19"/>
      <c r="E65" s="7"/>
      <c r="F65" s="19"/>
      <c r="G65" s="20"/>
      <c r="H65" s="20"/>
      <c r="I65" s="21"/>
      <c r="J65" s="22" t="str">
        <f aca="false">IF(OR(G65="",H65=""),"",ROUND((H65-G65)*1440-N(I65),0))</f>
        <v/>
      </c>
      <c r="K65" s="23" t="str">
        <f aca="false">IF(J65="","",ROUND(J65/60,2))</f>
        <v/>
      </c>
      <c r="L65" s="24"/>
      <c r="M65" s="25" t="str">
        <f aca="false">IF(OR(K65="",L65=""),"",ROUND(K65-L65,2))</f>
        <v/>
      </c>
      <c r="N65" s="19"/>
    </row>
    <row r="66" customFormat="false" ht="19.5" hidden="false" customHeight="true" outlineLevel="0" collapsed="false">
      <c r="A66" s="17" t="n">
        <v>60</v>
      </c>
      <c r="B66" s="18"/>
      <c r="C66" s="19"/>
      <c r="D66" s="19"/>
      <c r="E66" s="7"/>
      <c r="F66" s="19"/>
      <c r="G66" s="20"/>
      <c r="H66" s="20"/>
      <c r="I66" s="21"/>
      <c r="J66" s="22" t="str">
        <f aca="false">IF(OR(G66="",H66=""),"",ROUND((H66-G66)*1440-N(I66),0))</f>
        <v/>
      </c>
      <c r="K66" s="23" t="str">
        <f aca="false">IF(J66="","",ROUND(J66/60,2))</f>
        <v/>
      </c>
      <c r="L66" s="24"/>
      <c r="M66" s="25" t="str">
        <f aca="false">IF(OR(K66="",L66=""),"",ROUND(K66-L66,2))</f>
        <v/>
      </c>
      <c r="N66" s="19"/>
    </row>
    <row r="67" customFormat="false" ht="15" hidden="false" customHeight="false" outlineLevel="0" collapsed="false">
      <c r="A67" s="26" t="s">
        <v>26</v>
      </c>
      <c r="B67" s="26"/>
      <c r="C67" s="26"/>
      <c r="D67" s="26"/>
      <c r="E67" s="26"/>
      <c r="F67" s="26"/>
      <c r="G67" s="26"/>
      <c r="H67" s="26"/>
      <c r="I67" s="27" t="n">
        <f aca="false">SUM(I7:I66)</f>
        <v>0</v>
      </c>
      <c r="J67" s="27" t="n">
        <f aca="false">SUM(J7:J66)</f>
        <v>0</v>
      </c>
      <c r="K67" s="28" t="n">
        <f aca="false">SUM(K7:K66)</f>
        <v>0</v>
      </c>
      <c r="L67" s="28" t="n">
        <f aca="false">SUM(L7:L66)</f>
        <v>0</v>
      </c>
      <c r="M67" s="29" t="n">
        <f aca="false">SUM(M7:M66)</f>
        <v>0</v>
      </c>
      <c r="N67" s="26"/>
    </row>
  </sheetData>
  <mergeCells count="1">
    <mergeCell ref="A4:N4"/>
  </mergeCells>
  <dataValidations count="2">
    <dataValidation allowBlank="true" error="Elija un valor de la lista." errorStyle="stop" errorTitle="Valor no válido" operator="between" showDropDown="false" showErrorMessage="true" showInputMessage="false" sqref="D7:D66" type="list">
      <formula1>"Análisis/Planeación,Diseño,Construcción/Codificación,Pruebas y Post Mortem"</formula1>
      <formula2>0</formula2>
    </dataValidation>
    <dataValidation allowBlank="true" error="Escriba un número mayor o igual a 0." errorStyle="stop" operator="greaterThanOrEqual" showDropDown="false" showErrorMessage="true" showInputMessage="false" sqref="I7:I66 L7:L66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6" min="5" style="0" width="18"/>
  </cols>
  <sheetData>
    <row r="1" customFormat="false" ht="31.5" hidden="false" customHeight="true" outlineLevel="0" collapsed="false">
      <c r="B1" s="1" t="s">
        <v>27</v>
      </c>
    </row>
    <row r="2" customFormat="false" ht="27.75" hidden="false" customHeight="true" outlineLevel="0" collapsed="false">
      <c r="A2" s="2"/>
      <c r="B2" s="3" t="s">
        <v>28</v>
      </c>
      <c r="C2" s="2"/>
      <c r="D2" s="2"/>
      <c r="E2" s="2"/>
      <c r="F2" s="2"/>
    </row>
    <row r="5" customFormat="false" ht="43.5" hidden="false" customHeight="true" outlineLevel="0" collapsed="false">
      <c r="A5" s="9" t="s">
        <v>9</v>
      </c>
      <c r="B5" s="9" t="s">
        <v>17</v>
      </c>
      <c r="C5" s="9" t="s">
        <v>16</v>
      </c>
      <c r="D5" s="9" t="s">
        <v>18</v>
      </c>
      <c r="E5" s="9" t="s">
        <v>14</v>
      </c>
      <c r="F5" s="9" t="s">
        <v>29</v>
      </c>
    </row>
    <row r="6" customFormat="false" ht="15" hidden="false" customHeight="false" outlineLevel="0" collapsed="false">
      <c r="A6" s="30" t="s">
        <v>30</v>
      </c>
      <c r="B6" s="23" t="n">
        <f aca="false">SUMIFS(Time_Log!$L$7:$L$66,Time_Log!$D$7:$D$66,A6)</f>
        <v>0</v>
      </c>
      <c r="C6" s="23" t="n">
        <f aca="false">SUMIFS(Time_Log!$K$7:$K$66,Time_Log!$D$7:$D$66,A6)</f>
        <v>0</v>
      </c>
      <c r="D6" s="25" t="n">
        <f aca="false">C6-B6</f>
        <v>0</v>
      </c>
      <c r="E6" s="22" t="n">
        <f aca="false">SUMIFS(Time_Log!$I$7:$I$66,Time_Log!$D$7:$D$66,A6)</f>
        <v>0</v>
      </c>
      <c r="F6" s="31" t="str">
        <f aca="false">IF(B6=0,"",C6/B6)</f>
        <v/>
      </c>
    </row>
    <row r="7" customFormat="false" ht="15" hidden="false" customHeight="false" outlineLevel="0" collapsed="false">
      <c r="A7" s="30" t="s">
        <v>22</v>
      </c>
      <c r="B7" s="23" t="n">
        <f aca="false">SUMIFS(Time_Log!$L$7:$L$66,Time_Log!$D$7:$D$66,A7)</f>
        <v>0</v>
      </c>
      <c r="C7" s="23" t="n">
        <f aca="false">SUMIFS(Time_Log!$K$7:$K$66,Time_Log!$D$7:$D$66,A7)</f>
        <v>0</v>
      </c>
      <c r="D7" s="25" t="n">
        <f aca="false">C7-B7</f>
        <v>0</v>
      </c>
      <c r="E7" s="22" t="n">
        <f aca="false">SUMIFS(Time_Log!$I$7:$I$66,Time_Log!$D$7:$D$66,A7)</f>
        <v>0</v>
      </c>
      <c r="F7" s="31" t="str">
        <f aca="false">IF(B7=0,"",C7/B7)</f>
        <v/>
      </c>
    </row>
    <row r="8" customFormat="false" ht="15" hidden="false" customHeight="false" outlineLevel="0" collapsed="false">
      <c r="A8" s="30" t="s">
        <v>31</v>
      </c>
      <c r="B8" s="23" t="n">
        <f aca="false">SUMIFS(Time_Log!$L$7:$L$66,Time_Log!$D$7:$D$66,A8)</f>
        <v>0</v>
      </c>
      <c r="C8" s="23" t="n">
        <f aca="false">SUMIFS(Time_Log!$K$7:$K$66,Time_Log!$D$7:$D$66,A8)</f>
        <v>0</v>
      </c>
      <c r="D8" s="25" t="n">
        <f aca="false">C8-B8</f>
        <v>0</v>
      </c>
      <c r="E8" s="22" t="n">
        <f aca="false">SUMIFS(Time_Log!$I$7:$I$66,Time_Log!$D$7:$D$66,A8)</f>
        <v>0</v>
      </c>
      <c r="F8" s="31" t="str">
        <f aca="false">IF(B8=0,"",C8/B8)</f>
        <v/>
      </c>
    </row>
    <row r="9" customFormat="false" ht="15" hidden="false" customHeight="false" outlineLevel="0" collapsed="false">
      <c r="A9" s="30" t="s">
        <v>32</v>
      </c>
      <c r="B9" s="23" t="n">
        <f aca="false">SUMIFS(Time_Log!$L$7:$L$66,Time_Log!$D$7:$D$66,A9)</f>
        <v>0</v>
      </c>
      <c r="C9" s="23" t="n">
        <f aca="false">SUMIFS(Time_Log!$K$7:$K$66,Time_Log!$D$7:$D$66,A9)</f>
        <v>0</v>
      </c>
      <c r="D9" s="25" t="n">
        <f aca="false">C9-B9</f>
        <v>0</v>
      </c>
      <c r="E9" s="22" t="n">
        <f aca="false">SUMIFS(Time_Log!$I$7:$I$66,Time_Log!$D$7:$D$66,A9)</f>
        <v>0</v>
      </c>
      <c r="F9" s="31" t="str">
        <f aca="false">IF(B9=0,"",C9/B9)</f>
        <v/>
      </c>
    </row>
    <row r="10" customFormat="false" ht="15" hidden="false" customHeight="false" outlineLevel="0" collapsed="false">
      <c r="A10" s="32" t="s">
        <v>26</v>
      </c>
      <c r="B10" s="28" t="n">
        <f aca="false">SUM(B6:B9)</f>
        <v>0</v>
      </c>
      <c r="C10" s="28" t="n">
        <f aca="false">SUM(C6:C9)</f>
        <v>0</v>
      </c>
      <c r="D10" s="29" t="n">
        <f aca="false">C10-B10</f>
        <v>0</v>
      </c>
      <c r="E10" s="27" t="n">
        <f aca="false">SUM(E6:E9)</f>
        <v>0</v>
      </c>
      <c r="F10" s="33" t="str">
        <f aca="false">IF(B10=0,"",C10/B10)</f>
        <v/>
      </c>
    </row>
    <row r="12" customFormat="false" ht="30" hidden="false" customHeight="true" outlineLevel="0" collapsed="false">
      <c r="A12" s="8" t="s">
        <v>33</v>
      </c>
      <c r="B12" s="8"/>
      <c r="C12" s="8"/>
      <c r="D12" s="8"/>
      <c r="E12" s="8"/>
      <c r="F12" s="8"/>
    </row>
  </sheetData>
  <mergeCells count="1">
    <mergeCell ref="A12:F12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2026-10-26T03:01:48Z</dcterms:created>
  <dc:creator>openpyxl</dc:creator>
  <dc:description/>
  <dc:language>en-US</dc:language>
  <cp:lastModifiedBy/>
  <dcterms:modified xsi:type="dcterms:W3CDTF">2026-10-26T03:01:48Z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